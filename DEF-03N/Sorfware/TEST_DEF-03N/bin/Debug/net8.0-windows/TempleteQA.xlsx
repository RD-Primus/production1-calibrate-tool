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imus\do by mine\TEST_DEF-03N\"/>
    </mc:Choice>
  </mc:AlternateContent>
  <xr:revisionPtr revIDLastSave="0" documentId="13_ncr:1_{F14C0086-98A7-447C-87B3-785E577C52F5}" xr6:coauthVersionLast="47" xr6:coauthVersionMax="47" xr10:uidLastSave="{00000000-0000-0000-0000-000000000000}"/>
  <bookViews>
    <workbookView xWindow="14295" yWindow="0" windowWidth="14610" windowHeight="15585" xr2:uid="{077A4E8C-4E44-4298-B10A-74E9A71435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95" i="1" l="1"/>
  <c r="J95" i="1"/>
  <c r="H95" i="1"/>
  <c r="K94" i="1"/>
  <c r="J94" i="1"/>
  <c r="H94" i="1"/>
  <c r="K93" i="1"/>
  <c r="J93" i="1"/>
  <c r="H93" i="1"/>
  <c r="K92" i="1"/>
  <c r="J92" i="1"/>
  <c r="H92" i="1"/>
  <c r="K91" i="1"/>
  <c r="J91" i="1"/>
  <c r="H91" i="1"/>
  <c r="K90" i="1"/>
  <c r="J90" i="1"/>
  <c r="H90" i="1"/>
  <c r="K89" i="1"/>
  <c r="J89" i="1"/>
  <c r="H89" i="1"/>
  <c r="K88" i="1"/>
  <c r="J88" i="1"/>
  <c r="H88" i="1"/>
  <c r="K87" i="1"/>
  <c r="J87" i="1"/>
  <c r="H87" i="1"/>
  <c r="K86" i="1"/>
  <c r="J86" i="1"/>
  <c r="H86" i="1"/>
  <c r="K85" i="1"/>
  <c r="J85" i="1"/>
  <c r="H85" i="1"/>
  <c r="K84" i="1"/>
  <c r="J84" i="1"/>
  <c r="H84" i="1"/>
  <c r="K83" i="1"/>
  <c r="J83" i="1"/>
  <c r="H83" i="1"/>
  <c r="K82" i="1"/>
  <c r="J82" i="1"/>
  <c r="H82" i="1"/>
  <c r="K81" i="1"/>
  <c r="J81" i="1"/>
  <c r="H81" i="1"/>
  <c r="K80" i="1"/>
  <c r="J80" i="1"/>
  <c r="H80" i="1"/>
  <c r="K79" i="1"/>
  <c r="J79" i="1"/>
  <c r="H79" i="1"/>
  <c r="K78" i="1"/>
  <c r="J78" i="1"/>
  <c r="H78" i="1"/>
  <c r="K77" i="1"/>
  <c r="J77" i="1"/>
  <c r="H77" i="1"/>
  <c r="K76" i="1"/>
  <c r="J76" i="1"/>
  <c r="H76" i="1"/>
  <c r="K75" i="1"/>
  <c r="J75" i="1"/>
  <c r="H75" i="1"/>
  <c r="K74" i="1"/>
  <c r="J74" i="1"/>
  <c r="H74" i="1"/>
  <c r="K73" i="1"/>
  <c r="J73" i="1"/>
  <c r="H73" i="1"/>
  <c r="K72" i="1"/>
  <c r="J72" i="1"/>
  <c r="H72" i="1"/>
  <c r="K71" i="1"/>
  <c r="J71" i="1"/>
  <c r="H71" i="1"/>
  <c r="K70" i="1"/>
  <c r="J70" i="1"/>
  <c r="H70" i="1"/>
  <c r="K69" i="1"/>
  <c r="J69" i="1"/>
  <c r="H69" i="1"/>
</calcChain>
</file>

<file path=xl/sharedStrings.xml><?xml version="1.0" encoding="utf-8"?>
<sst xmlns="http://schemas.openxmlformats.org/spreadsheetml/2006/main" count="110" uniqueCount="64">
  <si>
    <t>แบบฟอร์มผลการสุ่มตรวจสินค้าก่อนนำส่งคลังสินค้า</t>
  </si>
  <si>
    <t>วัตถุประสงค์</t>
  </si>
  <si>
    <t>เพื่อตรวจสอบคุณภาพสินค้าสำเร็จรูปให้เป็นไปตามมาตรฐานสินค้าตามที่กำหนด</t>
  </si>
  <si>
    <t>Verify By (QA)</t>
  </si>
  <si>
    <t>Production 1</t>
  </si>
  <si>
    <t>Approved (QA Mgr.)</t>
  </si>
  <si>
    <t>Approved (RD Mgr.)</t>
  </si>
  <si>
    <t xml:space="preserve">date:  </t>
  </si>
  <si>
    <t xml:space="preserve">Equipment QA </t>
  </si>
  <si>
    <t>ID</t>
  </si>
  <si>
    <t>Manufacturer</t>
  </si>
  <si>
    <t>Serial No.</t>
  </si>
  <si>
    <t>Cal Date</t>
  </si>
  <si>
    <t>Ohmsource</t>
  </si>
  <si>
    <t>OS-274</t>
  </si>
  <si>
    <t>IET</t>
  </si>
  <si>
    <t>D122410924</t>
  </si>
  <si>
    <t>Model</t>
  </si>
  <si>
    <t>DEF-03N-A-B-220</t>
  </si>
  <si>
    <t xml:space="preserve">lot No. </t>
  </si>
  <si>
    <t>Assy/2603/1714</t>
  </si>
  <si>
    <t>lot Size</t>
  </si>
  <si>
    <t>Sampling.</t>
  </si>
  <si>
    <t xml:space="preserve"> ECN Number</t>
  </si>
  <si>
    <t>REF. ISSUE</t>
  </si>
  <si>
    <t>RD-CN-24-6-0121 (V.3)</t>
  </si>
  <si>
    <t>Manual</t>
  </si>
  <si>
    <t>UM-[DEF-03N]-F67-01</t>
  </si>
  <si>
    <t>1. Power Supply Test</t>
  </si>
  <si>
    <t>100-250VAC  50-60Hz</t>
  </si>
  <si>
    <t>220VAC +-10%  50-60HZ</t>
  </si>
  <si>
    <t>24VAC/VDC  +-15%</t>
  </si>
  <si>
    <t>10-24VAC/VDC</t>
  </si>
  <si>
    <t>10-30VDC</t>
  </si>
  <si>
    <t>3Phase Power Supply</t>
  </si>
  <si>
    <t>2. Display  &amp; LED</t>
  </si>
  <si>
    <t xml:space="preserve">7-Segment &amp; LCD &amp; OLED  (ส่วนการแสดงผล /หน้าจอแสดงผล </t>
  </si>
  <si>
    <t>ความสว่าง  / ตรวจสอบด้วยตาเปล่า เทียบกับชิ้นงานต้นแบบ</t>
  </si>
  <si>
    <t>สว่างเท่ากัน</t>
  </si>
  <si>
    <t>Red Color</t>
  </si>
  <si>
    <t>ติดครบทุก Digit</t>
  </si>
  <si>
    <t>สว่างน้อยกว่า</t>
  </si>
  <si>
    <t>Green Color</t>
  </si>
  <si>
    <t>ติดไม่ครบ</t>
  </si>
  <si>
    <t>สว่างมากกว่า</t>
  </si>
  <si>
    <t>White Color</t>
  </si>
  <si>
    <t>ไม่ทำงาน</t>
  </si>
  <si>
    <t>LED   (ส่วนการแสดงสถานะ การทำงาน  ตรวจสอบด้วยตาเปล่า เทียบกับชิ้นงานต้นแบบ )</t>
  </si>
  <si>
    <t>Output</t>
  </si>
  <si>
    <t>ทำงาน</t>
  </si>
  <si>
    <t>Alarm</t>
  </si>
  <si>
    <t>3. Output Test</t>
  </si>
  <si>
    <t>INPUT NTC 2K  (Ohmsource)</t>
  </si>
  <si>
    <t>S/N</t>
  </si>
  <si>
    <t xml:space="preserve">Input </t>
  </si>
  <si>
    <t>Output  (C)</t>
  </si>
  <si>
    <t>Tolarance (C)</t>
  </si>
  <si>
    <t>Result</t>
  </si>
  <si>
    <t>C</t>
  </si>
  <si>
    <t>Expect</t>
  </si>
  <si>
    <t>Actual</t>
  </si>
  <si>
    <t>low</t>
  </si>
  <si>
    <t>High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</si>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</sst>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>
    <font>
      <sz val="11"/>
      <color theme="1"/>
      <name val="Aptos Narrow"/>
      <family val="2"/>
      <scheme val="minor"/>
    </font>
    <font>
      <sz val="14"/>
      <name val="Cordia New"/>
      <family val="2"/>
      <charset val="222"/>
    </font>
    <font>
      <sz val="22"/>
      <name val="Footlight MT Light"/>
      <family val="1"/>
    </font>
    <font>
      <sz val="28"/>
      <name val="Footlight MT Light"/>
      <family val="1"/>
    </font>
    <font>
      <sz val="12"/>
      <color indexed="56"/>
      <name val="Arial Narrow"/>
      <family val="2"/>
    </font>
    <font>
      <sz val="11"/>
      <color indexed="56"/>
      <name val="Arial Narrow"/>
      <family val="2"/>
    </font>
    <font>
      <sz val="11"/>
      <color theme="1"/>
      <name val="Footlight MT Light"/>
      <family val="1"/>
    </font>
    <font>
      <b/>
      <sz val="10"/>
      <color theme="1"/>
      <name val="Footlight MT Light"/>
      <family val="1"/>
    </font>
    <font>
      <sz val="10"/>
      <color theme="1"/>
      <name val="Footlight MT Light"/>
      <family val="1"/>
    </font>
    <font>
      <b/>
      <sz val="12"/>
      <color theme="1"/>
      <name val="Footlight MT Light"/>
      <family val="1"/>
    </font>
    <font>
      <sz val="12"/>
      <color theme="1"/>
      <name val="Footlight MT Light"/>
      <family val="1"/>
    </font>
    <font>
      <b/>
      <sz val="16"/>
      <color theme="1"/>
      <name val="Footlight MT Light"/>
      <family val="1"/>
    </font>
    <font>
      <sz val="16"/>
      <color theme="1"/>
      <name val="Footlight MT Light"/>
      <family val="1"/>
    </font>
    <font>
      <b/>
      <sz val="11"/>
      <color theme="1"/>
      <name val="Footlight MT Light"/>
      <family val="1"/>
    </font>
    <font>
      <b/>
      <sz val="36"/>
      <color theme="1"/>
      <name val="Footlight MT Light"/>
      <family val="1"/>
    </font>
    <font>
      <sz val="11"/>
      <color theme="1"/>
      <name val="Aptos Narrow"/>
      <family val="2"/>
      <charset val="222"/>
      <scheme val="minor"/>
    </font>
    <font>
      <sz val="9"/>
      <color theme="1"/>
      <name val="Footlight MT Light"/>
      <family val="1"/>
    </font>
    <font>
      <sz val="10"/>
      <color theme="1"/>
      <name val="Footlight MT Light"/>
      <family val="1"/>
      <charset val="222"/>
    </font>
    <font>
      <sz val="12"/>
      <color rgb="FF00B050"/>
      <name val="Footlight MT Light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5" fillId="0" borderId="0"/>
    <xf numFmtId="0" fontId="15" fillId="0" borderId="0"/>
  </cellStyleXfs>
  <cellXfs count="69">
    <xf numFmtId="0" fontId="0" fillId="0" borderId="0" xfId="0"/>
    <xf numFmtId="0" fontId="2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/>
    <xf numFmtId="0" fontId="8" fillId="0" borderId="8" xfId="0" applyFont="1" applyBorder="1"/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4" fontId="10" fillId="0" borderId="7" xfId="0" applyNumberFormat="1" applyFont="1" applyBorder="1" applyAlignment="1">
      <alignment horizontal="center" vertical="center"/>
    </xf>
    <xf numFmtId="14" fontId="10" fillId="0" borderId="9" xfId="0" applyNumberFormat="1" applyFont="1" applyBorder="1" applyAlignment="1">
      <alignment horizontal="center" vertical="center"/>
    </xf>
    <xf numFmtId="14" fontId="10" fillId="0" borderId="8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1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2" applyFont="1" applyAlignment="1">
      <alignment vertical="center"/>
    </xf>
    <xf numFmtId="0" fontId="16" fillId="3" borderId="3" xfId="2" applyFont="1" applyFill="1" applyBorder="1" applyAlignment="1">
      <alignment horizontal="center" vertical="center"/>
    </xf>
    <xf numFmtId="0" fontId="16" fillId="3" borderId="4" xfId="2" applyFont="1" applyFill="1" applyBorder="1" applyAlignment="1">
      <alignment horizontal="center" vertical="center"/>
    </xf>
    <xf numFmtId="0" fontId="16" fillId="3" borderId="2" xfId="2" applyFont="1" applyFill="1" applyBorder="1" applyAlignment="1">
      <alignment horizontal="center" vertical="center"/>
    </xf>
    <xf numFmtId="0" fontId="6" fillId="3" borderId="7" xfId="2" applyFont="1" applyFill="1" applyBorder="1" applyAlignment="1">
      <alignment horizontal="center"/>
    </xf>
    <xf numFmtId="0" fontId="6" fillId="3" borderId="8" xfId="2" applyFont="1" applyFill="1" applyBorder="1" applyAlignment="1">
      <alignment horizontal="center"/>
    </xf>
    <xf numFmtId="0" fontId="6" fillId="3" borderId="7" xfId="2" applyFont="1" applyFill="1" applyBorder="1" applyAlignment="1">
      <alignment horizontal="center" vertical="center"/>
    </xf>
    <xf numFmtId="0" fontId="6" fillId="3" borderId="8" xfId="2" applyFont="1" applyFill="1" applyBorder="1" applyAlignment="1">
      <alignment horizontal="center" vertical="center"/>
    </xf>
    <xf numFmtId="0" fontId="6" fillId="3" borderId="3" xfId="2" applyFont="1" applyFill="1" applyBorder="1" applyAlignment="1">
      <alignment horizontal="center" vertical="center"/>
    </xf>
    <xf numFmtId="0" fontId="6" fillId="3" borderId="4" xfId="2" applyFont="1" applyFill="1" applyBorder="1" applyAlignment="1">
      <alignment horizontal="center" vertical="center"/>
    </xf>
    <xf numFmtId="0" fontId="16" fillId="3" borderId="5" xfId="2" applyFont="1" applyFill="1" applyBorder="1" applyAlignment="1">
      <alignment horizontal="center" vertical="center"/>
    </xf>
    <xf numFmtId="0" fontId="16" fillId="3" borderId="6" xfId="2" applyFont="1" applyFill="1" applyBorder="1" applyAlignment="1">
      <alignment horizontal="center" vertical="center"/>
    </xf>
    <xf numFmtId="0" fontId="16" fillId="3" borderId="2" xfId="2" applyFont="1" applyFill="1" applyBorder="1" applyAlignment="1">
      <alignment horizontal="center" vertical="center"/>
    </xf>
    <xf numFmtId="0" fontId="6" fillId="3" borderId="2" xfId="2" applyFont="1" applyFill="1" applyBorder="1" applyAlignment="1">
      <alignment horizontal="center"/>
    </xf>
    <xf numFmtId="0" fontId="6" fillId="3" borderId="2" xfId="2" applyFont="1" applyFill="1" applyBorder="1" applyAlignment="1">
      <alignment horizontal="center" vertical="center"/>
    </xf>
    <xf numFmtId="0" fontId="6" fillId="3" borderId="5" xfId="2" applyFont="1" applyFill="1" applyBorder="1" applyAlignment="1">
      <alignment horizontal="center" vertical="center"/>
    </xf>
    <xf numFmtId="0" fontId="6" fillId="3" borderId="6" xfId="2" applyFont="1" applyFill="1" applyBorder="1" applyAlignment="1">
      <alignment horizontal="center" vertical="center"/>
    </xf>
    <xf numFmtId="1" fontId="8" fillId="0" borderId="2" xfId="0" applyNumberFormat="1" applyFont="1" applyBorder="1" applyAlignment="1">
      <alignment horizontal="center" vertical="center"/>
    </xf>
    <xf numFmtId="1" fontId="8" fillId="0" borderId="2" xfId="0" applyNumberFormat="1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164" fontId="8" fillId="0" borderId="2" xfId="3" applyNumberFormat="1" applyFont="1" applyBorder="1" applyAlignment="1">
      <alignment horizontal="center" vertical="center"/>
    </xf>
    <xf numFmtId="164" fontId="17" fillId="0" borderId="2" xfId="3" applyNumberFormat="1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164" fontId="8" fillId="0" borderId="2" xfId="3" quotePrefix="1" applyNumberFormat="1" applyFont="1" applyBorder="1" applyAlignment="1">
      <alignment horizontal="center" vertical="center"/>
    </xf>
  </cellXfs>
  <cellStyles count="4">
    <cellStyle name="Normal" xfId="0" builtinId="0"/>
    <cellStyle name="Normal_COMBINE 0481.02" xfId="1" xr:uid="{B5C8FDF2-C84A-4FDE-81EC-8E3552DD5D9F}"/>
    <cellStyle name="ปกติ 4 2" xfId="2" xr:uid="{5C90ECA8-F3F0-4F0E-BABF-36BA5C7AF0DC}"/>
    <cellStyle name="ปกติ 5 2" xfId="3" xr:uid="{E822E547-4D75-4FFA-9711-8179E5AF8E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17859</xdr:colOff>
      <xdr:row>1</xdr:row>
      <xdr:rowOff>100853</xdr:rowOff>
    </xdr:from>
    <xdr:ext cx="577453" cy="574048"/>
    <xdr:pic>
      <xdr:nvPicPr>
        <xdr:cNvPr id="2" name="รูปภาพ 4">
          <a:extLst>
            <a:ext uri="{FF2B5EF4-FFF2-40B4-BE49-F238E27FC236}">
              <a16:creationId xmlns:a16="http://schemas.microsoft.com/office/drawing/2014/main" id="{509AA879-2809-42E3-B434-90B0CE173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977" y="291353"/>
          <a:ext cx="577453" cy="574048"/>
        </a:xfrm>
        <a:prstGeom prst="rect">
          <a:avLst/>
        </a:prstGeom>
      </xdr:spPr>
    </xdr:pic>
    <xdr:clientData/>
  </xdr:oneCellAnchor>
  <xdr:twoCellAnchor>
    <xdr:from>
      <xdr:col>1</xdr:col>
      <xdr:colOff>457202</xdr:colOff>
      <xdr:row>35</xdr:row>
      <xdr:rowOff>17584</xdr:rowOff>
    </xdr:from>
    <xdr:to>
      <xdr:col>1</xdr:col>
      <xdr:colOff>606138</xdr:colOff>
      <xdr:row>35</xdr:row>
      <xdr:rowOff>162791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8DAAFD8E-D6A1-4ED1-B9F3-8BCA057E6B0C}"/>
            </a:ext>
          </a:extLst>
        </xdr:cNvPr>
        <xdr:cNvSpPr/>
      </xdr:nvSpPr>
      <xdr:spPr>
        <a:xfrm>
          <a:off x="1038227" y="6637459"/>
          <a:ext cx="120361" cy="145207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</xdr:col>
      <xdr:colOff>457202</xdr:colOff>
      <xdr:row>36</xdr:row>
      <xdr:rowOff>21047</xdr:rowOff>
    </xdr:from>
    <xdr:to>
      <xdr:col>1</xdr:col>
      <xdr:colOff>606138</xdr:colOff>
      <xdr:row>36</xdr:row>
      <xdr:rowOff>166254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32C23493-657E-4FD9-9699-B58B7CBCF4D8}"/>
            </a:ext>
          </a:extLst>
        </xdr:cNvPr>
        <xdr:cNvSpPr/>
      </xdr:nvSpPr>
      <xdr:spPr>
        <a:xfrm>
          <a:off x="1038227" y="6831422"/>
          <a:ext cx="120361" cy="145207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457200</xdr:colOff>
      <xdr:row>37</xdr:row>
      <xdr:rowOff>20782</xdr:rowOff>
    </xdr:from>
    <xdr:to>
      <xdr:col>1</xdr:col>
      <xdr:colOff>606136</xdr:colOff>
      <xdr:row>37</xdr:row>
      <xdr:rowOff>165989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7A0B575A-8686-4912-A216-51D671E9223B}"/>
            </a:ext>
          </a:extLst>
        </xdr:cNvPr>
        <xdr:cNvSpPr/>
      </xdr:nvSpPr>
      <xdr:spPr>
        <a:xfrm>
          <a:off x="1038225" y="7021657"/>
          <a:ext cx="120361" cy="145207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</xdr:col>
      <xdr:colOff>460664</xdr:colOff>
      <xdr:row>38</xdr:row>
      <xdr:rowOff>17317</xdr:rowOff>
    </xdr:from>
    <xdr:to>
      <xdr:col>1</xdr:col>
      <xdr:colOff>609600</xdr:colOff>
      <xdr:row>38</xdr:row>
      <xdr:rowOff>162524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FEA1513E-0798-47A1-BF51-EB26EBFF8666}"/>
            </a:ext>
          </a:extLst>
        </xdr:cNvPr>
        <xdr:cNvSpPr/>
      </xdr:nvSpPr>
      <xdr:spPr>
        <a:xfrm>
          <a:off x="1041689" y="7208692"/>
          <a:ext cx="120361" cy="145207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</xdr:col>
      <xdr:colOff>460664</xdr:colOff>
      <xdr:row>39</xdr:row>
      <xdr:rowOff>13855</xdr:rowOff>
    </xdr:from>
    <xdr:to>
      <xdr:col>1</xdr:col>
      <xdr:colOff>609600</xdr:colOff>
      <xdr:row>39</xdr:row>
      <xdr:rowOff>159062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CD38C4FB-E1A2-40BE-87AD-80A889E285D9}"/>
            </a:ext>
          </a:extLst>
        </xdr:cNvPr>
        <xdr:cNvSpPr/>
      </xdr:nvSpPr>
      <xdr:spPr>
        <a:xfrm>
          <a:off x="1041689" y="7395730"/>
          <a:ext cx="120361" cy="145207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</xdr:col>
      <xdr:colOff>460664</xdr:colOff>
      <xdr:row>40</xdr:row>
      <xdr:rowOff>13855</xdr:rowOff>
    </xdr:from>
    <xdr:to>
      <xdr:col>1</xdr:col>
      <xdr:colOff>609600</xdr:colOff>
      <xdr:row>40</xdr:row>
      <xdr:rowOff>159062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26452C33-A389-433B-97A1-48D0CAB1041C}"/>
            </a:ext>
          </a:extLst>
        </xdr:cNvPr>
        <xdr:cNvSpPr/>
      </xdr:nvSpPr>
      <xdr:spPr>
        <a:xfrm>
          <a:off x="1041689" y="7586230"/>
          <a:ext cx="120361" cy="145207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oneCellAnchor>
    <xdr:from>
      <xdr:col>8</xdr:col>
      <xdr:colOff>242887</xdr:colOff>
      <xdr:row>56</xdr:row>
      <xdr:rowOff>0</xdr:rowOff>
    </xdr:from>
    <xdr:ext cx="65" cy="170239"/>
    <xdr:sp macro="" textlink="">
      <xdr:nvSpPr>
        <xdr:cNvPr id="10" name="กล่องข้อความ 103">
          <a:extLst>
            <a:ext uri="{FF2B5EF4-FFF2-40B4-BE49-F238E27FC236}">
              <a16:creationId xmlns:a16="http://schemas.microsoft.com/office/drawing/2014/main" id="{D34E9133-731B-4B86-9F92-2BA258D242B0}"/>
            </a:ext>
          </a:extLst>
        </xdr:cNvPr>
        <xdr:cNvSpPr txBox="1"/>
      </xdr:nvSpPr>
      <xdr:spPr>
        <a:xfrm>
          <a:off x="4891087" y="1062037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  <xdr:twoCellAnchor>
    <xdr:from>
      <xdr:col>1</xdr:col>
      <xdr:colOff>457202</xdr:colOff>
      <xdr:row>42</xdr:row>
      <xdr:rowOff>17584</xdr:rowOff>
    </xdr:from>
    <xdr:to>
      <xdr:col>1</xdr:col>
      <xdr:colOff>606138</xdr:colOff>
      <xdr:row>42</xdr:row>
      <xdr:rowOff>162791</xdr:rowOff>
    </xdr:to>
    <xdr:sp macro="" textlink="">
      <xdr:nvSpPr>
        <xdr:cNvPr id="11" name="Rectangle 37">
          <a:extLst>
            <a:ext uri="{FF2B5EF4-FFF2-40B4-BE49-F238E27FC236}">
              <a16:creationId xmlns:a16="http://schemas.microsoft.com/office/drawing/2014/main" id="{40533344-95F1-4E5B-84A3-A277677DB173}"/>
            </a:ext>
          </a:extLst>
        </xdr:cNvPr>
        <xdr:cNvSpPr/>
      </xdr:nvSpPr>
      <xdr:spPr>
        <a:xfrm>
          <a:off x="1038227" y="7970959"/>
          <a:ext cx="120361" cy="145207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</xdr:col>
      <xdr:colOff>457202</xdr:colOff>
      <xdr:row>48</xdr:row>
      <xdr:rowOff>34147</xdr:rowOff>
    </xdr:from>
    <xdr:to>
      <xdr:col>1</xdr:col>
      <xdr:colOff>606138</xdr:colOff>
      <xdr:row>48</xdr:row>
      <xdr:rowOff>179354</xdr:rowOff>
    </xdr:to>
    <xdr:sp macro="" textlink="">
      <xdr:nvSpPr>
        <xdr:cNvPr id="12" name="Rectangle 38">
          <a:extLst>
            <a:ext uri="{FF2B5EF4-FFF2-40B4-BE49-F238E27FC236}">
              <a16:creationId xmlns:a16="http://schemas.microsoft.com/office/drawing/2014/main" id="{D65F7A95-E3F2-4BED-A716-1EF859ADA7B8}"/>
            </a:ext>
          </a:extLst>
        </xdr:cNvPr>
        <xdr:cNvSpPr/>
      </xdr:nvSpPr>
      <xdr:spPr>
        <a:xfrm>
          <a:off x="1038227" y="9130522"/>
          <a:ext cx="120361" cy="145207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457202</xdr:colOff>
      <xdr:row>45</xdr:row>
      <xdr:rowOff>17584</xdr:rowOff>
    </xdr:from>
    <xdr:to>
      <xdr:col>2</xdr:col>
      <xdr:colOff>606138</xdr:colOff>
      <xdr:row>45</xdr:row>
      <xdr:rowOff>162791</xdr:rowOff>
    </xdr:to>
    <xdr:sp macro="" textlink="">
      <xdr:nvSpPr>
        <xdr:cNvPr id="13" name="Rectangle 39">
          <a:extLst>
            <a:ext uri="{FF2B5EF4-FFF2-40B4-BE49-F238E27FC236}">
              <a16:creationId xmlns:a16="http://schemas.microsoft.com/office/drawing/2014/main" id="{DEB7FB10-B9D3-4125-A8A7-29116D8F49E9}"/>
            </a:ext>
          </a:extLst>
        </xdr:cNvPr>
        <xdr:cNvSpPr/>
      </xdr:nvSpPr>
      <xdr:spPr>
        <a:xfrm>
          <a:off x="1619252" y="8542459"/>
          <a:ext cx="120361" cy="145207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457202</xdr:colOff>
      <xdr:row>46</xdr:row>
      <xdr:rowOff>17584</xdr:rowOff>
    </xdr:from>
    <xdr:to>
      <xdr:col>2</xdr:col>
      <xdr:colOff>606138</xdr:colOff>
      <xdr:row>46</xdr:row>
      <xdr:rowOff>162791</xdr:rowOff>
    </xdr:to>
    <xdr:sp macro="" textlink="">
      <xdr:nvSpPr>
        <xdr:cNvPr id="14" name="Rectangle 40">
          <a:extLst>
            <a:ext uri="{FF2B5EF4-FFF2-40B4-BE49-F238E27FC236}">
              <a16:creationId xmlns:a16="http://schemas.microsoft.com/office/drawing/2014/main" id="{2EF97F24-31A3-4DF1-80BD-C4DE396F180B}"/>
            </a:ext>
          </a:extLst>
        </xdr:cNvPr>
        <xdr:cNvSpPr/>
      </xdr:nvSpPr>
      <xdr:spPr>
        <a:xfrm>
          <a:off x="1619252" y="8732959"/>
          <a:ext cx="120361" cy="145207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457202</xdr:colOff>
      <xdr:row>47</xdr:row>
      <xdr:rowOff>17584</xdr:rowOff>
    </xdr:from>
    <xdr:to>
      <xdr:col>2</xdr:col>
      <xdr:colOff>606138</xdr:colOff>
      <xdr:row>47</xdr:row>
      <xdr:rowOff>162791</xdr:rowOff>
    </xdr:to>
    <xdr:sp macro="" textlink="">
      <xdr:nvSpPr>
        <xdr:cNvPr id="15" name="Rectangle 41">
          <a:extLst>
            <a:ext uri="{FF2B5EF4-FFF2-40B4-BE49-F238E27FC236}">
              <a16:creationId xmlns:a16="http://schemas.microsoft.com/office/drawing/2014/main" id="{E1A78431-1136-44B3-9A26-04ECBC141462}"/>
            </a:ext>
          </a:extLst>
        </xdr:cNvPr>
        <xdr:cNvSpPr/>
      </xdr:nvSpPr>
      <xdr:spPr>
        <a:xfrm>
          <a:off x="1619252" y="8923459"/>
          <a:ext cx="120361" cy="145207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468924</xdr:colOff>
      <xdr:row>49</xdr:row>
      <xdr:rowOff>13867</xdr:rowOff>
    </xdr:from>
    <xdr:to>
      <xdr:col>2</xdr:col>
      <xdr:colOff>617860</xdr:colOff>
      <xdr:row>49</xdr:row>
      <xdr:rowOff>159074</xdr:rowOff>
    </xdr:to>
    <xdr:sp macro="" textlink="">
      <xdr:nvSpPr>
        <xdr:cNvPr id="16" name="Rectangle 50">
          <a:extLst>
            <a:ext uri="{FF2B5EF4-FFF2-40B4-BE49-F238E27FC236}">
              <a16:creationId xmlns:a16="http://schemas.microsoft.com/office/drawing/2014/main" id="{BF5143EB-E1C2-4166-B9D2-CAE0046C5508}"/>
            </a:ext>
          </a:extLst>
        </xdr:cNvPr>
        <xdr:cNvSpPr/>
      </xdr:nvSpPr>
      <xdr:spPr>
        <a:xfrm>
          <a:off x="1630974" y="9300742"/>
          <a:ext cx="110836" cy="145207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457202</xdr:colOff>
      <xdr:row>50</xdr:row>
      <xdr:rowOff>17584</xdr:rowOff>
    </xdr:from>
    <xdr:to>
      <xdr:col>3</xdr:col>
      <xdr:colOff>606138</xdr:colOff>
      <xdr:row>50</xdr:row>
      <xdr:rowOff>162791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9D91CF83-FE58-4E14-991E-BBEAA6365E1C}"/>
            </a:ext>
          </a:extLst>
        </xdr:cNvPr>
        <xdr:cNvSpPr/>
      </xdr:nvSpPr>
      <xdr:spPr>
        <a:xfrm>
          <a:off x="2200277" y="9494959"/>
          <a:ext cx="120361" cy="145207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457202</xdr:colOff>
      <xdr:row>51</xdr:row>
      <xdr:rowOff>17584</xdr:rowOff>
    </xdr:from>
    <xdr:to>
      <xdr:col>3</xdr:col>
      <xdr:colOff>606138</xdr:colOff>
      <xdr:row>51</xdr:row>
      <xdr:rowOff>162791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689E8658-F351-43E1-9E08-5053FE417DA3}"/>
            </a:ext>
          </a:extLst>
        </xdr:cNvPr>
        <xdr:cNvSpPr/>
      </xdr:nvSpPr>
      <xdr:spPr>
        <a:xfrm>
          <a:off x="2200277" y="9685459"/>
          <a:ext cx="120361" cy="145207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457202</xdr:colOff>
      <xdr:row>52</xdr:row>
      <xdr:rowOff>17584</xdr:rowOff>
    </xdr:from>
    <xdr:to>
      <xdr:col>3</xdr:col>
      <xdr:colOff>606138</xdr:colOff>
      <xdr:row>52</xdr:row>
      <xdr:rowOff>162791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7B7E9873-AA87-40E9-871A-63F243AC5E31}"/>
            </a:ext>
          </a:extLst>
        </xdr:cNvPr>
        <xdr:cNvSpPr/>
      </xdr:nvSpPr>
      <xdr:spPr>
        <a:xfrm>
          <a:off x="2200277" y="9875959"/>
          <a:ext cx="120361" cy="145207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10</xdr:col>
      <xdr:colOff>457202</xdr:colOff>
      <xdr:row>45</xdr:row>
      <xdr:rowOff>17584</xdr:rowOff>
    </xdr:from>
    <xdr:to>
      <xdr:col>10</xdr:col>
      <xdr:colOff>606138</xdr:colOff>
      <xdr:row>45</xdr:row>
      <xdr:rowOff>162791</xdr:rowOff>
    </xdr:to>
    <xdr:sp macro="" textlink="">
      <xdr:nvSpPr>
        <xdr:cNvPr id="20" name="Rectangle 54">
          <a:extLst>
            <a:ext uri="{FF2B5EF4-FFF2-40B4-BE49-F238E27FC236}">
              <a16:creationId xmlns:a16="http://schemas.microsoft.com/office/drawing/2014/main" id="{1B9F8D6F-D78C-443B-B3D7-3A99995936B1}"/>
            </a:ext>
          </a:extLst>
        </xdr:cNvPr>
        <xdr:cNvSpPr/>
      </xdr:nvSpPr>
      <xdr:spPr>
        <a:xfrm>
          <a:off x="6267452" y="8542459"/>
          <a:ext cx="120361" cy="145207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10</xdr:col>
      <xdr:colOff>457202</xdr:colOff>
      <xdr:row>46</xdr:row>
      <xdr:rowOff>17584</xdr:rowOff>
    </xdr:from>
    <xdr:to>
      <xdr:col>10</xdr:col>
      <xdr:colOff>606138</xdr:colOff>
      <xdr:row>46</xdr:row>
      <xdr:rowOff>162791</xdr:rowOff>
    </xdr:to>
    <xdr:sp macro="" textlink="">
      <xdr:nvSpPr>
        <xdr:cNvPr id="21" name="Rectangle 55">
          <a:extLst>
            <a:ext uri="{FF2B5EF4-FFF2-40B4-BE49-F238E27FC236}">
              <a16:creationId xmlns:a16="http://schemas.microsoft.com/office/drawing/2014/main" id="{CDF6FD75-12F3-4A23-A696-45B2FA21062A}"/>
            </a:ext>
          </a:extLst>
        </xdr:cNvPr>
        <xdr:cNvSpPr/>
      </xdr:nvSpPr>
      <xdr:spPr>
        <a:xfrm>
          <a:off x="6267452" y="8732959"/>
          <a:ext cx="120361" cy="145207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10</xdr:col>
      <xdr:colOff>457202</xdr:colOff>
      <xdr:row>47</xdr:row>
      <xdr:rowOff>17584</xdr:rowOff>
    </xdr:from>
    <xdr:to>
      <xdr:col>10</xdr:col>
      <xdr:colOff>606138</xdr:colOff>
      <xdr:row>47</xdr:row>
      <xdr:rowOff>162791</xdr:rowOff>
    </xdr:to>
    <xdr:sp macro="" textlink="">
      <xdr:nvSpPr>
        <xdr:cNvPr id="22" name="Rectangle 56">
          <a:extLst>
            <a:ext uri="{FF2B5EF4-FFF2-40B4-BE49-F238E27FC236}">
              <a16:creationId xmlns:a16="http://schemas.microsoft.com/office/drawing/2014/main" id="{627E7121-1796-48CE-928C-75C0AA7BE415}"/>
            </a:ext>
          </a:extLst>
        </xdr:cNvPr>
        <xdr:cNvSpPr/>
      </xdr:nvSpPr>
      <xdr:spPr>
        <a:xfrm>
          <a:off x="6267452" y="8923459"/>
          <a:ext cx="120361" cy="145207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</xdr:col>
      <xdr:colOff>457202</xdr:colOff>
      <xdr:row>50</xdr:row>
      <xdr:rowOff>17584</xdr:rowOff>
    </xdr:from>
    <xdr:to>
      <xdr:col>6</xdr:col>
      <xdr:colOff>606138</xdr:colOff>
      <xdr:row>50</xdr:row>
      <xdr:rowOff>162791</xdr:rowOff>
    </xdr:to>
    <xdr:sp macro="" textlink="">
      <xdr:nvSpPr>
        <xdr:cNvPr id="23" name="Rectangle 61">
          <a:extLst>
            <a:ext uri="{FF2B5EF4-FFF2-40B4-BE49-F238E27FC236}">
              <a16:creationId xmlns:a16="http://schemas.microsoft.com/office/drawing/2014/main" id="{6EEC7B83-3EDA-4A0B-AA9F-4B1191D58F17}"/>
            </a:ext>
          </a:extLst>
        </xdr:cNvPr>
        <xdr:cNvSpPr/>
      </xdr:nvSpPr>
      <xdr:spPr>
        <a:xfrm>
          <a:off x="3943352" y="9494959"/>
          <a:ext cx="120361" cy="145207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</xdr:col>
      <xdr:colOff>457202</xdr:colOff>
      <xdr:row>51</xdr:row>
      <xdr:rowOff>17584</xdr:rowOff>
    </xdr:from>
    <xdr:to>
      <xdr:col>6</xdr:col>
      <xdr:colOff>606138</xdr:colOff>
      <xdr:row>51</xdr:row>
      <xdr:rowOff>162791</xdr:rowOff>
    </xdr:to>
    <xdr:sp macro="" textlink="">
      <xdr:nvSpPr>
        <xdr:cNvPr id="24" name="Rectangle 62">
          <a:extLst>
            <a:ext uri="{FF2B5EF4-FFF2-40B4-BE49-F238E27FC236}">
              <a16:creationId xmlns:a16="http://schemas.microsoft.com/office/drawing/2014/main" id="{23BA4E89-76EC-45BC-BC2F-EFA308ECC333}"/>
            </a:ext>
          </a:extLst>
        </xdr:cNvPr>
        <xdr:cNvSpPr/>
      </xdr:nvSpPr>
      <xdr:spPr>
        <a:xfrm>
          <a:off x="3943352" y="9685459"/>
          <a:ext cx="120361" cy="145207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 editAs="oneCell">
    <xdr:from>
      <xdr:col>1</xdr:col>
      <xdr:colOff>459819</xdr:colOff>
      <xdr:row>36</xdr:row>
      <xdr:rowOff>25644</xdr:rowOff>
    </xdr:from>
    <xdr:to>
      <xdr:col>1</xdr:col>
      <xdr:colOff>582658</xdr:colOff>
      <xdr:row>36</xdr:row>
      <xdr:rowOff>150495</xdr:rowOff>
    </xdr:to>
    <xdr:pic>
      <xdr:nvPicPr>
        <xdr:cNvPr id="25" name="รูปภาพ 77">
          <a:extLst>
            <a:ext uri="{FF2B5EF4-FFF2-40B4-BE49-F238E27FC236}">
              <a16:creationId xmlns:a16="http://schemas.microsoft.com/office/drawing/2014/main" id="{9A228754-5569-475B-A437-B1E0BCC0D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844" y="6836019"/>
          <a:ext cx="122839" cy="12485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466725</xdr:colOff>
      <xdr:row>48</xdr:row>
      <xdr:rowOff>49530</xdr:rowOff>
    </xdr:from>
    <xdr:to>
      <xdr:col>1</xdr:col>
      <xdr:colOff>582489</xdr:colOff>
      <xdr:row>48</xdr:row>
      <xdr:rowOff>170571</xdr:rowOff>
    </xdr:to>
    <xdr:pic>
      <xdr:nvPicPr>
        <xdr:cNvPr id="26" name="รูปภาพ 78">
          <a:extLst>
            <a:ext uri="{FF2B5EF4-FFF2-40B4-BE49-F238E27FC236}">
              <a16:creationId xmlns:a16="http://schemas.microsoft.com/office/drawing/2014/main" id="{3CC37CA5-32F5-48C3-A980-33607EEFA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9145905"/>
          <a:ext cx="115764" cy="121041"/>
        </a:xfrm>
        <a:prstGeom prst="rect">
          <a:avLst/>
        </a:prstGeom>
      </xdr:spPr>
    </xdr:pic>
    <xdr:clientData/>
  </xdr:twoCellAnchor>
  <xdr:twoCellAnchor editAs="oneCell">
    <xdr:from>
      <xdr:col>2</xdr:col>
      <xdr:colOff>472440</xdr:colOff>
      <xdr:row>49</xdr:row>
      <xdr:rowOff>30564</xdr:rowOff>
    </xdr:from>
    <xdr:to>
      <xdr:col>2</xdr:col>
      <xdr:colOff>584394</xdr:colOff>
      <xdr:row>49</xdr:row>
      <xdr:rowOff>136365</xdr:rowOff>
    </xdr:to>
    <xdr:pic>
      <xdr:nvPicPr>
        <xdr:cNvPr id="27" name="รูปภาพ 79">
          <a:extLst>
            <a:ext uri="{FF2B5EF4-FFF2-40B4-BE49-F238E27FC236}">
              <a16:creationId xmlns:a16="http://schemas.microsoft.com/office/drawing/2014/main" id="{3455A2E8-7418-4B0F-9741-D15435B31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4490" y="9317439"/>
          <a:ext cx="111954" cy="105801"/>
        </a:xfrm>
        <a:prstGeom prst="rect">
          <a:avLst/>
        </a:prstGeom>
      </xdr:spPr>
    </xdr:pic>
    <xdr:clientData/>
  </xdr:twoCellAnchor>
  <xdr:twoCellAnchor editAs="oneCell">
    <xdr:from>
      <xdr:col>6</xdr:col>
      <xdr:colOff>462915</xdr:colOff>
      <xdr:row>50</xdr:row>
      <xdr:rowOff>26670</xdr:rowOff>
    </xdr:from>
    <xdr:to>
      <xdr:col>6</xdr:col>
      <xdr:colOff>581832</xdr:colOff>
      <xdr:row>50</xdr:row>
      <xdr:rowOff>151521</xdr:rowOff>
    </xdr:to>
    <xdr:pic>
      <xdr:nvPicPr>
        <xdr:cNvPr id="28" name="รูปภาพ 83">
          <a:extLst>
            <a:ext uri="{FF2B5EF4-FFF2-40B4-BE49-F238E27FC236}">
              <a16:creationId xmlns:a16="http://schemas.microsoft.com/office/drawing/2014/main" id="{ABFCB1C8-9D27-4CF1-B628-0C547B0D0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9065" y="9504045"/>
          <a:ext cx="118917" cy="124851"/>
        </a:xfrm>
        <a:prstGeom prst="rect">
          <a:avLst/>
        </a:prstGeom>
      </xdr:spPr>
    </xdr:pic>
    <xdr:clientData/>
  </xdr:twoCellAnchor>
  <xdr:twoCellAnchor editAs="oneCell">
    <xdr:from>
      <xdr:col>3</xdr:col>
      <xdr:colOff>466725</xdr:colOff>
      <xdr:row>50</xdr:row>
      <xdr:rowOff>28575</xdr:rowOff>
    </xdr:from>
    <xdr:to>
      <xdr:col>3</xdr:col>
      <xdr:colOff>582489</xdr:colOff>
      <xdr:row>50</xdr:row>
      <xdr:rowOff>153426</xdr:rowOff>
    </xdr:to>
    <xdr:pic>
      <xdr:nvPicPr>
        <xdr:cNvPr id="29" name="รูปภาพ 84">
          <a:extLst>
            <a:ext uri="{FF2B5EF4-FFF2-40B4-BE49-F238E27FC236}">
              <a16:creationId xmlns:a16="http://schemas.microsoft.com/office/drawing/2014/main" id="{D7BCE672-C60C-4DD6-AF86-15AE53696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0" y="9505950"/>
          <a:ext cx="115764" cy="124851"/>
        </a:xfrm>
        <a:prstGeom prst="rect">
          <a:avLst/>
        </a:prstGeom>
      </xdr:spPr>
    </xdr:pic>
    <xdr:clientData/>
  </xdr:twoCellAnchor>
  <xdr:twoCellAnchor>
    <xdr:from>
      <xdr:col>3</xdr:col>
      <xdr:colOff>457202</xdr:colOff>
      <xdr:row>55</xdr:row>
      <xdr:rowOff>17584</xdr:rowOff>
    </xdr:from>
    <xdr:to>
      <xdr:col>3</xdr:col>
      <xdr:colOff>606138</xdr:colOff>
      <xdr:row>55</xdr:row>
      <xdr:rowOff>162791</xdr:rowOff>
    </xdr:to>
    <xdr:sp macro="" textlink="">
      <xdr:nvSpPr>
        <xdr:cNvPr id="30" name="Rectangle 52">
          <a:extLst>
            <a:ext uri="{FF2B5EF4-FFF2-40B4-BE49-F238E27FC236}">
              <a16:creationId xmlns:a16="http://schemas.microsoft.com/office/drawing/2014/main" id="{2CAB5650-737F-475E-B9C8-492F016E7780}"/>
            </a:ext>
          </a:extLst>
        </xdr:cNvPr>
        <xdr:cNvSpPr/>
      </xdr:nvSpPr>
      <xdr:spPr>
        <a:xfrm>
          <a:off x="2200277" y="10447459"/>
          <a:ext cx="120361" cy="145207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457202</xdr:colOff>
      <xdr:row>56</xdr:row>
      <xdr:rowOff>17584</xdr:rowOff>
    </xdr:from>
    <xdr:to>
      <xdr:col>3</xdr:col>
      <xdr:colOff>606138</xdr:colOff>
      <xdr:row>56</xdr:row>
      <xdr:rowOff>162791</xdr:rowOff>
    </xdr:to>
    <xdr:sp macro="" textlink="">
      <xdr:nvSpPr>
        <xdr:cNvPr id="31" name="Rectangle 53">
          <a:extLst>
            <a:ext uri="{FF2B5EF4-FFF2-40B4-BE49-F238E27FC236}">
              <a16:creationId xmlns:a16="http://schemas.microsoft.com/office/drawing/2014/main" id="{8F87FC6B-2362-4F49-8930-15D3F9AECEA0}"/>
            </a:ext>
          </a:extLst>
        </xdr:cNvPr>
        <xdr:cNvSpPr/>
      </xdr:nvSpPr>
      <xdr:spPr>
        <a:xfrm>
          <a:off x="2200277" y="10637959"/>
          <a:ext cx="120361" cy="145207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</xdr:col>
      <xdr:colOff>457202</xdr:colOff>
      <xdr:row>55</xdr:row>
      <xdr:rowOff>17584</xdr:rowOff>
    </xdr:from>
    <xdr:to>
      <xdr:col>6</xdr:col>
      <xdr:colOff>606138</xdr:colOff>
      <xdr:row>55</xdr:row>
      <xdr:rowOff>162791</xdr:rowOff>
    </xdr:to>
    <xdr:sp macro="" textlink="">
      <xdr:nvSpPr>
        <xdr:cNvPr id="32" name="Rectangle 62">
          <a:extLst>
            <a:ext uri="{FF2B5EF4-FFF2-40B4-BE49-F238E27FC236}">
              <a16:creationId xmlns:a16="http://schemas.microsoft.com/office/drawing/2014/main" id="{B933ACC9-97BE-437C-83DE-ED953F40C49A}"/>
            </a:ext>
          </a:extLst>
        </xdr:cNvPr>
        <xdr:cNvSpPr/>
      </xdr:nvSpPr>
      <xdr:spPr>
        <a:xfrm>
          <a:off x="3943352" y="10447459"/>
          <a:ext cx="120361" cy="145207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 editAs="oneCell">
    <xdr:from>
      <xdr:col>1</xdr:col>
      <xdr:colOff>470408</xdr:colOff>
      <xdr:row>42</xdr:row>
      <xdr:rowOff>29510</xdr:rowOff>
    </xdr:from>
    <xdr:to>
      <xdr:col>1</xdr:col>
      <xdr:colOff>581705</xdr:colOff>
      <xdr:row>42</xdr:row>
      <xdr:rowOff>154361</xdr:rowOff>
    </xdr:to>
    <xdr:pic>
      <xdr:nvPicPr>
        <xdr:cNvPr id="33" name="รูปภาพ 94">
          <a:extLst>
            <a:ext uri="{FF2B5EF4-FFF2-40B4-BE49-F238E27FC236}">
              <a16:creationId xmlns:a16="http://schemas.microsoft.com/office/drawing/2014/main" id="{4EF31523-BE5D-4FA2-AE72-E7D56374A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1433" y="7982885"/>
          <a:ext cx="111297" cy="124851"/>
        </a:xfrm>
        <a:prstGeom prst="rect">
          <a:avLst/>
        </a:prstGeom>
      </xdr:spPr>
    </xdr:pic>
    <xdr:clientData/>
  </xdr:twoCellAnchor>
  <xdr:twoCellAnchor editAs="oneCell">
    <xdr:from>
      <xdr:col>2</xdr:col>
      <xdr:colOff>465364</xdr:colOff>
      <xdr:row>45</xdr:row>
      <xdr:rowOff>35379</xdr:rowOff>
    </xdr:from>
    <xdr:to>
      <xdr:col>2</xdr:col>
      <xdr:colOff>581128</xdr:colOff>
      <xdr:row>45</xdr:row>
      <xdr:rowOff>167850</xdr:rowOff>
    </xdr:to>
    <xdr:pic>
      <xdr:nvPicPr>
        <xdr:cNvPr id="34" name="รูปภาพ 95">
          <a:extLst>
            <a:ext uri="{FF2B5EF4-FFF2-40B4-BE49-F238E27FC236}">
              <a16:creationId xmlns:a16="http://schemas.microsoft.com/office/drawing/2014/main" id="{AEF4794F-54BE-4C86-85ED-5A4045751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7414" y="8560254"/>
          <a:ext cx="115764" cy="132471"/>
        </a:xfrm>
        <a:prstGeom prst="rect">
          <a:avLst/>
        </a:prstGeom>
      </xdr:spPr>
    </xdr:pic>
    <xdr:clientData/>
  </xdr:twoCellAnchor>
  <xdr:twoCellAnchor editAs="oneCell">
    <xdr:from>
      <xdr:col>10</xdr:col>
      <xdr:colOff>468085</xdr:colOff>
      <xdr:row>45</xdr:row>
      <xdr:rowOff>32657</xdr:rowOff>
    </xdr:from>
    <xdr:to>
      <xdr:col>10</xdr:col>
      <xdr:colOff>583849</xdr:colOff>
      <xdr:row>45</xdr:row>
      <xdr:rowOff>168938</xdr:rowOff>
    </xdr:to>
    <xdr:pic>
      <xdr:nvPicPr>
        <xdr:cNvPr id="35" name="รูปภาพ 96">
          <a:extLst>
            <a:ext uri="{FF2B5EF4-FFF2-40B4-BE49-F238E27FC236}">
              <a16:creationId xmlns:a16="http://schemas.microsoft.com/office/drawing/2014/main" id="{EFC55A7D-7537-4E8B-8E50-500A8CB31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8335" y="8557532"/>
          <a:ext cx="115764" cy="136281"/>
        </a:xfrm>
        <a:prstGeom prst="rect">
          <a:avLst/>
        </a:prstGeom>
      </xdr:spPr>
    </xdr:pic>
    <xdr:clientData/>
  </xdr:twoCellAnchor>
  <xdr:twoCellAnchor>
    <xdr:from>
      <xdr:col>6</xdr:col>
      <xdr:colOff>457202</xdr:colOff>
      <xdr:row>58</xdr:row>
      <xdr:rowOff>17584</xdr:rowOff>
    </xdr:from>
    <xdr:to>
      <xdr:col>6</xdr:col>
      <xdr:colOff>606138</xdr:colOff>
      <xdr:row>58</xdr:row>
      <xdr:rowOff>162791</xdr:rowOff>
    </xdr:to>
    <xdr:sp macro="" textlink="">
      <xdr:nvSpPr>
        <xdr:cNvPr id="36" name="Rectangle 61">
          <a:extLst>
            <a:ext uri="{FF2B5EF4-FFF2-40B4-BE49-F238E27FC236}">
              <a16:creationId xmlns:a16="http://schemas.microsoft.com/office/drawing/2014/main" id="{4027987A-B686-4B22-BD43-9E233E5E82AC}"/>
            </a:ext>
          </a:extLst>
        </xdr:cNvPr>
        <xdr:cNvSpPr/>
      </xdr:nvSpPr>
      <xdr:spPr>
        <a:xfrm>
          <a:off x="3943352" y="11018959"/>
          <a:ext cx="120361" cy="145207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</xdr:col>
      <xdr:colOff>457202</xdr:colOff>
      <xdr:row>59</xdr:row>
      <xdr:rowOff>17584</xdr:rowOff>
    </xdr:from>
    <xdr:to>
      <xdr:col>6</xdr:col>
      <xdr:colOff>606138</xdr:colOff>
      <xdr:row>59</xdr:row>
      <xdr:rowOff>162791</xdr:rowOff>
    </xdr:to>
    <xdr:sp macro="" textlink="">
      <xdr:nvSpPr>
        <xdr:cNvPr id="37" name="Rectangle 62">
          <a:extLst>
            <a:ext uri="{FF2B5EF4-FFF2-40B4-BE49-F238E27FC236}">
              <a16:creationId xmlns:a16="http://schemas.microsoft.com/office/drawing/2014/main" id="{5ADC8779-BE75-458E-B730-738E50172AC3}"/>
            </a:ext>
          </a:extLst>
        </xdr:cNvPr>
        <xdr:cNvSpPr/>
      </xdr:nvSpPr>
      <xdr:spPr>
        <a:xfrm>
          <a:off x="3943352" y="11209459"/>
          <a:ext cx="120361" cy="145207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oneCellAnchor>
    <xdr:from>
      <xdr:col>6</xdr:col>
      <xdr:colOff>462915</xdr:colOff>
      <xdr:row>58</xdr:row>
      <xdr:rowOff>26670</xdr:rowOff>
    </xdr:from>
    <xdr:ext cx="136719" cy="124851"/>
    <xdr:pic>
      <xdr:nvPicPr>
        <xdr:cNvPr id="38" name="รูปภาพ 5">
          <a:extLst>
            <a:ext uri="{FF2B5EF4-FFF2-40B4-BE49-F238E27FC236}">
              <a16:creationId xmlns:a16="http://schemas.microsoft.com/office/drawing/2014/main" id="{A596368F-D038-4551-8AEF-37369D973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9065" y="11028045"/>
          <a:ext cx="136719" cy="124851"/>
        </a:xfrm>
        <a:prstGeom prst="rect">
          <a:avLst/>
        </a:prstGeom>
      </xdr:spPr>
    </xdr:pic>
    <xdr:clientData/>
  </xdr:oneCellAnchor>
  <xdr:twoCellAnchor>
    <xdr:from>
      <xdr:col>6</xdr:col>
      <xdr:colOff>457202</xdr:colOff>
      <xdr:row>46</xdr:row>
      <xdr:rowOff>17584</xdr:rowOff>
    </xdr:from>
    <xdr:to>
      <xdr:col>6</xdr:col>
      <xdr:colOff>606138</xdr:colOff>
      <xdr:row>46</xdr:row>
      <xdr:rowOff>162791</xdr:rowOff>
    </xdr:to>
    <xdr:sp macro="" textlink="">
      <xdr:nvSpPr>
        <xdr:cNvPr id="39" name="Rectangle 55">
          <a:extLst>
            <a:ext uri="{FF2B5EF4-FFF2-40B4-BE49-F238E27FC236}">
              <a16:creationId xmlns:a16="http://schemas.microsoft.com/office/drawing/2014/main" id="{6FCE5077-4A33-4959-8E53-059005B65010}"/>
            </a:ext>
          </a:extLst>
        </xdr:cNvPr>
        <xdr:cNvSpPr/>
      </xdr:nvSpPr>
      <xdr:spPr>
        <a:xfrm>
          <a:off x="3943352" y="8732959"/>
          <a:ext cx="120361" cy="145207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</xdr:col>
      <xdr:colOff>457202</xdr:colOff>
      <xdr:row>47</xdr:row>
      <xdr:rowOff>17584</xdr:rowOff>
    </xdr:from>
    <xdr:to>
      <xdr:col>6</xdr:col>
      <xdr:colOff>606138</xdr:colOff>
      <xdr:row>47</xdr:row>
      <xdr:rowOff>162791</xdr:rowOff>
    </xdr:to>
    <xdr:sp macro="" textlink="">
      <xdr:nvSpPr>
        <xdr:cNvPr id="40" name="Rectangle 56">
          <a:extLst>
            <a:ext uri="{FF2B5EF4-FFF2-40B4-BE49-F238E27FC236}">
              <a16:creationId xmlns:a16="http://schemas.microsoft.com/office/drawing/2014/main" id="{9FF49E82-6CC2-43D0-B474-8B7AA93BF213}"/>
            </a:ext>
          </a:extLst>
        </xdr:cNvPr>
        <xdr:cNvSpPr/>
      </xdr:nvSpPr>
      <xdr:spPr>
        <a:xfrm>
          <a:off x="3943352" y="8923459"/>
          <a:ext cx="120361" cy="145207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oneCellAnchor>
    <xdr:from>
      <xdr:col>6</xdr:col>
      <xdr:colOff>480747</xdr:colOff>
      <xdr:row>45</xdr:row>
      <xdr:rowOff>45461</xdr:rowOff>
    </xdr:from>
    <xdr:ext cx="112401" cy="108960"/>
    <xdr:pic>
      <xdr:nvPicPr>
        <xdr:cNvPr id="41" name="รูปภาพ 6">
          <a:extLst>
            <a:ext uri="{FF2B5EF4-FFF2-40B4-BE49-F238E27FC236}">
              <a16:creationId xmlns:a16="http://schemas.microsoft.com/office/drawing/2014/main" id="{B655DF6F-54C4-45A2-8357-E3B9E0A07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6897" y="8570336"/>
          <a:ext cx="112401" cy="108960"/>
        </a:xfrm>
        <a:prstGeom prst="rect">
          <a:avLst/>
        </a:prstGeom>
      </xdr:spPr>
    </xdr:pic>
    <xdr:clientData/>
  </xdr:oneCellAnchor>
  <xdr:twoCellAnchor>
    <xdr:from>
      <xdr:col>6</xdr:col>
      <xdr:colOff>457202</xdr:colOff>
      <xdr:row>45</xdr:row>
      <xdr:rowOff>17584</xdr:rowOff>
    </xdr:from>
    <xdr:to>
      <xdr:col>6</xdr:col>
      <xdr:colOff>606138</xdr:colOff>
      <xdr:row>45</xdr:row>
      <xdr:rowOff>162791</xdr:rowOff>
    </xdr:to>
    <xdr:sp macro="" textlink="">
      <xdr:nvSpPr>
        <xdr:cNvPr id="42" name="Rectangle 54">
          <a:extLst>
            <a:ext uri="{FF2B5EF4-FFF2-40B4-BE49-F238E27FC236}">
              <a16:creationId xmlns:a16="http://schemas.microsoft.com/office/drawing/2014/main" id="{1DB93FD1-4759-407A-A1CB-A804112F7D52}"/>
            </a:ext>
          </a:extLst>
        </xdr:cNvPr>
        <xdr:cNvSpPr/>
      </xdr:nvSpPr>
      <xdr:spPr>
        <a:xfrm>
          <a:off x="3943352" y="8542459"/>
          <a:ext cx="120361" cy="145207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</xdr:col>
      <xdr:colOff>457202</xdr:colOff>
      <xdr:row>46</xdr:row>
      <xdr:rowOff>17584</xdr:rowOff>
    </xdr:from>
    <xdr:to>
      <xdr:col>6</xdr:col>
      <xdr:colOff>606138</xdr:colOff>
      <xdr:row>46</xdr:row>
      <xdr:rowOff>162791</xdr:rowOff>
    </xdr:to>
    <xdr:sp macro="" textlink="">
      <xdr:nvSpPr>
        <xdr:cNvPr id="43" name="Rectangle 55">
          <a:extLst>
            <a:ext uri="{FF2B5EF4-FFF2-40B4-BE49-F238E27FC236}">
              <a16:creationId xmlns:a16="http://schemas.microsoft.com/office/drawing/2014/main" id="{09ABC2B9-A827-49BD-B2D2-DD8D95BD2E62}"/>
            </a:ext>
          </a:extLst>
        </xdr:cNvPr>
        <xdr:cNvSpPr/>
      </xdr:nvSpPr>
      <xdr:spPr>
        <a:xfrm>
          <a:off x="3943352" y="8732959"/>
          <a:ext cx="120361" cy="145207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</xdr:col>
      <xdr:colOff>457202</xdr:colOff>
      <xdr:row>47</xdr:row>
      <xdr:rowOff>17584</xdr:rowOff>
    </xdr:from>
    <xdr:to>
      <xdr:col>6</xdr:col>
      <xdr:colOff>606138</xdr:colOff>
      <xdr:row>47</xdr:row>
      <xdr:rowOff>162791</xdr:rowOff>
    </xdr:to>
    <xdr:sp macro="" textlink="">
      <xdr:nvSpPr>
        <xdr:cNvPr id="44" name="Rectangle 56">
          <a:extLst>
            <a:ext uri="{FF2B5EF4-FFF2-40B4-BE49-F238E27FC236}">
              <a16:creationId xmlns:a16="http://schemas.microsoft.com/office/drawing/2014/main" id="{0380804B-8045-43EE-97EA-10FCF1E8A051}"/>
            </a:ext>
          </a:extLst>
        </xdr:cNvPr>
        <xdr:cNvSpPr/>
      </xdr:nvSpPr>
      <xdr:spPr>
        <a:xfrm>
          <a:off x="3943352" y="8923459"/>
          <a:ext cx="120361" cy="145207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</xdr:col>
      <xdr:colOff>457202</xdr:colOff>
      <xdr:row>45</xdr:row>
      <xdr:rowOff>17584</xdr:rowOff>
    </xdr:from>
    <xdr:to>
      <xdr:col>6</xdr:col>
      <xdr:colOff>606138</xdr:colOff>
      <xdr:row>45</xdr:row>
      <xdr:rowOff>162791</xdr:rowOff>
    </xdr:to>
    <xdr:sp macro="" textlink="">
      <xdr:nvSpPr>
        <xdr:cNvPr id="45" name="Rectangle 54">
          <a:extLst>
            <a:ext uri="{FF2B5EF4-FFF2-40B4-BE49-F238E27FC236}">
              <a16:creationId xmlns:a16="http://schemas.microsoft.com/office/drawing/2014/main" id="{C0AB513A-D6C7-407E-9F54-BB9BC5727FAA}"/>
            </a:ext>
          </a:extLst>
        </xdr:cNvPr>
        <xdr:cNvSpPr/>
      </xdr:nvSpPr>
      <xdr:spPr>
        <a:xfrm>
          <a:off x="3943352" y="8542459"/>
          <a:ext cx="120361" cy="145207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</xdr:col>
      <xdr:colOff>457202</xdr:colOff>
      <xdr:row>46</xdr:row>
      <xdr:rowOff>17584</xdr:rowOff>
    </xdr:from>
    <xdr:to>
      <xdr:col>6</xdr:col>
      <xdr:colOff>606138</xdr:colOff>
      <xdr:row>46</xdr:row>
      <xdr:rowOff>162791</xdr:rowOff>
    </xdr:to>
    <xdr:sp macro="" textlink="">
      <xdr:nvSpPr>
        <xdr:cNvPr id="46" name="Rectangle 55">
          <a:extLst>
            <a:ext uri="{FF2B5EF4-FFF2-40B4-BE49-F238E27FC236}">
              <a16:creationId xmlns:a16="http://schemas.microsoft.com/office/drawing/2014/main" id="{4610D131-BD68-42F6-9D64-C665A4A20509}"/>
            </a:ext>
          </a:extLst>
        </xdr:cNvPr>
        <xdr:cNvSpPr/>
      </xdr:nvSpPr>
      <xdr:spPr>
        <a:xfrm>
          <a:off x="3943352" y="8732959"/>
          <a:ext cx="120361" cy="145207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</xdr:col>
      <xdr:colOff>457202</xdr:colOff>
      <xdr:row>47</xdr:row>
      <xdr:rowOff>17584</xdr:rowOff>
    </xdr:from>
    <xdr:to>
      <xdr:col>6</xdr:col>
      <xdr:colOff>606138</xdr:colOff>
      <xdr:row>47</xdr:row>
      <xdr:rowOff>162791</xdr:rowOff>
    </xdr:to>
    <xdr:sp macro="" textlink="">
      <xdr:nvSpPr>
        <xdr:cNvPr id="47" name="Rectangle 56">
          <a:extLst>
            <a:ext uri="{FF2B5EF4-FFF2-40B4-BE49-F238E27FC236}">
              <a16:creationId xmlns:a16="http://schemas.microsoft.com/office/drawing/2014/main" id="{68D31132-9C9F-498D-81DC-5BE91BA7B0E2}"/>
            </a:ext>
          </a:extLst>
        </xdr:cNvPr>
        <xdr:cNvSpPr/>
      </xdr:nvSpPr>
      <xdr:spPr>
        <a:xfrm>
          <a:off x="3943352" y="8923459"/>
          <a:ext cx="120361" cy="145207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</xdr:col>
      <xdr:colOff>457202</xdr:colOff>
      <xdr:row>44</xdr:row>
      <xdr:rowOff>34147</xdr:rowOff>
    </xdr:from>
    <xdr:to>
      <xdr:col>1</xdr:col>
      <xdr:colOff>606138</xdr:colOff>
      <xdr:row>44</xdr:row>
      <xdr:rowOff>179354</xdr:rowOff>
    </xdr:to>
    <xdr:sp macro="" textlink="">
      <xdr:nvSpPr>
        <xdr:cNvPr id="48" name="Rectangle 38">
          <a:extLst>
            <a:ext uri="{FF2B5EF4-FFF2-40B4-BE49-F238E27FC236}">
              <a16:creationId xmlns:a16="http://schemas.microsoft.com/office/drawing/2014/main" id="{A58B0B9C-635C-415B-B573-CDFE3FCBDD59}"/>
            </a:ext>
          </a:extLst>
        </xdr:cNvPr>
        <xdr:cNvSpPr/>
      </xdr:nvSpPr>
      <xdr:spPr>
        <a:xfrm>
          <a:off x="1038227" y="8368522"/>
          <a:ext cx="120361" cy="145207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oneCellAnchor>
    <xdr:from>
      <xdr:col>1</xdr:col>
      <xdr:colOff>466725</xdr:colOff>
      <xdr:row>44</xdr:row>
      <xdr:rowOff>49530</xdr:rowOff>
    </xdr:from>
    <xdr:ext cx="126746" cy="121041"/>
    <xdr:pic>
      <xdr:nvPicPr>
        <xdr:cNvPr id="49" name="รูปภาพ 18">
          <a:extLst>
            <a:ext uri="{FF2B5EF4-FFF2-40B4-BE49-F238E27FC236}">
              <a16:creationId xmlns:a16="http://schemas.microsoft.com/office/drawing/2014/main" id="{3F4352E8-FB02-4A45-A82C-F6CDDB862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8383905"/>
          <a:ext cx="126746" cy="121041"/>
        </a:xfrm>
        <a:prstGeom prst="rect">
          <a:avLst/>
        </a:prstGeom>
      </xdr:spPr>
    </xdr:pic>
    <xdr:clientData/>
  </xdr:oneCellAnchor>
  <xdr:twoCellAnchor>
    <xdr:from>
      <xdr:col>3</xdr:col>
      <xdr:colOff>468924</xdr:colOff>
      <xdr:row>58</xdr:row>
      <xdr:rowOff>13867</xdr:rowOff>
    </xdr:from>
    <xdr:to>
      <xdr:col>3</xdr:col>
      <xdr:colOff>617860</xdr:colOff>
      <xdr:row>58</xdr:row>
      <xdr:rowOff>159074</xdr:rowOff>
    </xdr:to>
    <xdr:sp macro="" textlink="">
      <xdr:nvSpPr>
        <xdr:cNvPr id="50" name="Rectangle 50">
          <a:extLst>
            <a:ext uri="{FF2B5EF4-FFF2-40B4-BE49-F238E27FC236}">
              <a16:creationId xmlns:a16="http://schemas.microsoft.com/office/drawing/2014/main" id="{BC840B5D-7B25-4FDA-B5D4-959F3FD5A357}"/>
            </a:ext>
          </a:extLst>
        </xdr:cNvPr>
        <xdr:cNvSpPr/>
      </xdr:nvSpPr>
      <xdr:spPr>
        <a:xfrm>
          <a:off x="2211999" y="11015242"/>
          <a:ext cx="110836" cy="145207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oneCellAnchor>
    <xdr:from>
      <xdr:col>3</xdr:col>
      <xdr:colOff>472440</xdr:colOff>
      <xdr:row>58</xdr:row>
      <xdr:rowOff>30564</xdr:rowOff>
    </xdr:from>
    <xdr:ext cx="115185" cy="107706"/>
    <xdr:pic>
      <xdr:nvPicPr>
        <xdr:cNvPr id="51" name="รูปภาพ 20">
          <a:extLst>
            <a:ext uri="{FF2B5EF4-FFF2-40B4-BE49-F238E27FC236}">
              <a16:creationId xmlns:a16="http://schemas.microsoft.com/office/drawing/2014/main" id="{434D16DD-5C26-4080-8C95-DA4CE96DF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5515" y="11031939"/>
          <a:ext cx="115185" cy="107706"/>
        </a:xfrm>
        <a:prstGeom prst="rect">
          <a:avLst/>
        </a:prstGeom>
      </xdr:spPr>
    </xdr:pic>
    <xdr:clientData/>
  </xdr:oneCellAnchor>
  <xdr:twoCellAnchor>
    <xdr:from>
      <xdr:col>6</xdr:col>
      <xdr:colOff>457202</xdr:colOff>
      <xdr:row>61</xdr:row>
      <xdr:rowOff>17584</xdr:rowOff>
    </xdr:from>
    <xdr:to>
      <xdr:col>6</xdr:col>
      <xdr:colOff>606138</xdr:colOff>
      <xdr:row>61</xdr:row>
      <xdr:rowOff>162791</xdr:rowOff>
    </xdr:to>
    <xdr:sp macro="" textlink="">
      <xdr:nvSpPr>
        <xdr:cNvPr id="52" name="Rectangle 62">
          <a:extLst>
            <a:ext uri="{FF2B5EF4-FFF2-40B4-BE49-F238E27FC236}">
              <a16:creationId xmlns:a16="http://schemas.microsoft.com/office/drawing/2014/main" id="{BA751C13-8F44-4EE6-B6A4-1EC5F3ACD167}"/>
            </a:ext>
          </a:extLst>
        </xdr:cNvPr>
        <xdr:cNvSpPr/>
      </xdr:nvSpPr>
      <xdr:spPr>
        <a:xfrm>
          <a:off x="3943352" y="11590459"/>
          <a:ext cx="120361" cy="145207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468924</xdr:colOff>
      <xdr:row>60</xdr:row>
      <xdr:rowOff>13867</xdr:rowOff>
    </xdr:from>
    <xdr:to>
      <xdr:col>3</xdr:col>
      <xdr:colOff>617860</xdr:colOff>
      <xdr:row>60</xdr:row>
      <xdr:rowOff>159074</xdr:rowOff>
    </xdr:to>
    <xdr:sp macro="" textlink="">
      <xdr:nvSpPr>
        <xdr:cNvPr id="53" name="Rectangle 50">
          <a:extLst>
            <a:ext uri="{FF2B5EF4-FFF2-40B4-BE49-F238E27FC236}">
              <a16:creationId xmlns:a16="http://schemas.microsoft.com/office/drawing/2014/main" id="{13A0E920-53A8-4C48-9787-D2378F7DA611}"/>
            </a:ext>
          </a:extLst>
        </xdr:cNvPr>
        <xdr:cNvSpPr/>
      </xdr:nvSpPr>
      <xdr:spPr>
        <a:xfrm>
          <a:off x="2211999" y="11396242"/>
          <a:ext cx="110836" cy="145207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oneCellAnchor>
    <xdr:from>
      <xdr:col>3</xdr:col>
      <xdr:colOff>472440</xdr:colOff>
      <xdr:row>60</xdr:row>
      <xdr:rowOff>30564</xdr:rowOff>
    </xdr:from>
    <xdr:ext cx="115185" cy="107706"/>
    <xdr:pic>
      <xdr:nvPicPr>
        <xdr:cNvPr id="54" name="รูปภาพ 26">
          <a:extLst>
            <a:ext uri="{FF2B5EF4-FFF2-40B4-BE49-F238E27FC236}">
              <a16:creationId xmlns:a16="http://schemas.microsoft.com/office/drawing/2014/main" id="{783B383F-8645-4D7C-B336-EBC6A7F2C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5515" y="11412939"/>
          <a:ext cx="115185" cy="107706"/>
        </a:xfrm>
        <a:prstGeom prst="rect">
          <a:avLst/>
        </a:prstGeom>
      </xdr:spPr>
    </xdr:pic>
    <xdr:clientData/>
  </xdr:oneCellAnchor>
  <xdr:twoCellAnchor>
    <xdr:from>
      <xdr:col>6</xdr:col>
      <xdr:colOff>457202</xdr:colOff>
      <xdr:row>60</xdr:row>
      <xdr:rowOff>17584</xdr:rowOff>
    </xdr:from>
    <xdr:to>
      <xdr:col>6</xdr:col>
      <xdr:colOff>606138</xdr:colOff>
      <xdr:row>60</xdr:row>
      <xdr:rowOff>162791</xdr:rowOff>
    </xdr:to>
    <xdr:sp macro="" textlink="">
      <xdr:nvSpPr>
        <xdr:cNvPr id="55" name="Rectangle 61">
          <a:extLst>
            <a:ext uri="{FF2B5EF4-FFF2-40B4-BE49-F238E27FC236}">
              <a16:creationId xmlns:a16="http://schemas.microsoft.com/office/drawing/2014/main" id="{19ABAAD6-4578-4792-AE7C-E77074067187}"/>
            </a:ext>
          </a:extLst>
        </xdr:cNvPr>
        <xdr:cNvSpPr/>
      </xdr:nvSpPr>
      <xdr:spPr>
        <a:xfrm>
          <a:off x="3943352" y="11399959"/>
          <a:ext cx="120361" cy="145207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oneCellAnchor>
    <xdr:from>
      <xdr:col>6</xdr:col>
      <xdr:colOff>462915</xdr:colOff>
      <xdr:row>60</xdr:row>
      <xdr:rowOff>26670</xdr:rowOff>
    </xdr:from>
    <xdr:ext cx="136719" cy="124851"/>
    <xdr:pic>
      <xdr:nvPicPr>
        <xdr:cNvPr id="56" name="รูปภาพ 30">
          <a:extLst>
            <a:ext uri="{FF2B5EF4-FFF2-40B4-BE49-F238E27FC236}">
              <a16:creationId xmlns:a16="http://schemas.microsoft.com/office/drawing/2014/main" id="{1FA8E511-FFDE-4112-A212-7D779B840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9065" y="11409045"/>
          <a:ext cx="136719" cy="124851"/>
        </a:xfrm>
        <a:prstGeom prst="rect">
          <a:avLst/>
        </a:prstGeom>
      </xdr:spPr>
    </xdr:pic>
    <xdr:clientData/>
  </xdr:oneCellAnchor>
  <xdr:twoCellAnchor>
    <xdr:from>
      <xdr:col>2</xdr:col>
      <xdr:colOff>468924</xdr:colOff>
      <xdr:row>53</xdr:row>
      <xdr:rowOff>13867</xdr:rowOff>
    </xdr:from>
    <xdr:to>
      <xdr:col>2</xdr:col>
      <xdr:colOff>617860</xdr:colOff>
      <xdr:row>53</xdr:row>
      <xdr:rowOff>159074</xdr:rowOff>
    </xdr:to>
    <xdr:sp macro="" textlink="">
      <xdr:nvSpPr>
        <xdr:cNvPr id="57" name="Rectangle 50">
          <a:extLst>
            <a:ext uri="{FF2B5EF4-FFF2-40B4-BE49-F238E27FC236}">
              <a16:creationId xmlns:a16="http://schemas.microsoft.com/office/drawing/2014/main" id="{B61259B6-1FE2-4D12-AF0F-E4F6BC7854A1}"/>
            </a:ext>
          </a:extLst>
        </xdr:cNvPr>
        <xdr:cNvSpPr/>
      </xdr:nvSpPr>
      <xdr:spPr>
        <a:xfrm>
          <a:off x="1630974" y="10062742"/>
          <a:ext cx="110836" cy="145207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oneCellAnchor>
    <xdr:from>
      <xdr:col>2</xdr:col>
      <xdr:colOff>472440</xdr:colOff>
      <xdr:row>53</xdr:row>
      <xdr:rowOff>30564</xdr:rowOff>
    </xdr:from>
    <xdr:ext cx="117669" cy="107706"/>
    <xdr:pic>
      <xdr:nvPicPr>
        <xdr:cNvPr id="58" name="รูปภาพ 33">
          <a:extLst>
            <a:ext uri="{FF2B5EF4-FFF2-40B4-BE49-F238E27FC236}">
              <a16:creationId xmlns:a16="http://schemas.microsoft.com/office/drawing/2014/main" id="{CA914F3E-1734-4D5D-A7B0-2620734A2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4490" y="10079439"/>
          <a:ext cx="117669" cy="107706"/>
        </a:xfrm>
        <a:prstGeom prst="rect">
          <a:avLst/>
        </a:prstGeom>
      </xdr:spPr>
    </xdr:pic>
    <xdr:clientData/>
  </xdr:oneCellAnchor>
  <xdr:twoCellAnchor>
    <xdr:from>
      <xdr:col>3</xdr:col>
      <xdr:colOff>457202</xdr:colOff>
      <xdr:row>54</xdr:row>
      <xdr:rowOff>17584</xdr:rowOff>
    </xdr:from>
    <xdr:to>
      <xdr:col>3</xdr:col>
      <xdr:colOff>606138</xdr:colOff>
      <xdr:row>54</xdr:row>
      <xdr:rowOff>162791</xdr:rowOff>
    </xdr:to>
    <xdr:sp macro="" textlink="">
      <xdr:nvSpPr>
        <xdr:cNvPr id="59" name="Rectangle 51">
          <a:extLst>
            <a:ext uri="{FF2B5EF4-FFF2-40B4-BE49-F238E27FC236}">
              <a16:creationId xmlns:a16="http://schemas.microsoft.com/office/drawing/2014/main" id="{59BDC1B7-3D2B-4DC2-9D68-53EE89DD66EA}"/>
            </a:ext>
          </a:extLst>
        </xdr:cNvPr>
        <xdr:cNvSpPr/>
      </xdr:nvSpPr>
      <xdr:spPr>
        <a:xfrm>
          <a:off x="2200277" y="10256959"/>
          <a:ext cx="120361" cy="145207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oneCellAnchor>
    <xdr:from>
      <xdr:col>3</xdr:col>
      <xdr:colOff>466725</xdr:colOff>
      <xdr:row>54</xdr:row>
      <xdr:rowOff>28575</xdr:rowOff>
    </xdr:from>
    <xdr:ext cx="123384" cy="126756"/>
    <xdr:pic>
      <xdr:nvPicPr>
        <xdr:cNvPr id="60" name="รูปภาพ 35">
          <a:extLst>
            <a:ext uri="{FF2B5EF4-FFF2-40B4-BE49-F238E27FC236}">
              <a16:creationId xmlns:a16="http://schemas.microsoft.com/office/drawing/2014/main" id="{728454BE-77AD-4BB3-82F6-6FC0444C1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0" y="10267950"/>
          <a:ext cx="123384" cy="126756"/>
        </a:xfrm>
        <a:prstGeom prst="rect">
          <a:avLst/>
        </a:prstGeom>
      </xdr:spPr>
    </xdr:pic>
    <xdr:clientData/>
  </xdr:oneCellAnchor>
  <xdr:twoCellAnchor>
    <xdr:from>
      <xdr:col>6</xdr:col>
      <xdr:colOff>457202</xdr:colOff>
      <xdr:row>54</xdr:row>
      <xdr:rowOff>17584</xdr:rowOff>
    </xdr:from>
    <xdr:to>
      <xdr:col>6</xdr:col>
      <xdr:colOff>606138</xdr:colOff>
      <xdr:row>54</xdr:row>
      <xdr:rowOff>162791</xdr:rowOff>
    </xdr:to>
    <xdr:sp macro="" textlink="">
      <xdr:nvSpPr>
        <xdr:cNvPr id="61" name="Rectangle 61">
          <a:extLst>
            <a:ext uri="{FF2B5EF4-FFF2-40B4-BE49-F238E27FC236}">
              <a16:creationId xmlns:a16="http://schemas.microsoft.com/office/drawing/2014/main" id="{555909AB-A561-425E-92BA-2D93B7BA63D4}"/>
            </a:ext>
          </a:extLst>
        </xdr:cNvPr>
        <xdr:cNvSpPr/>
      </xdr:nvSpPr>
      <xdr:spPr>
        <a:xfrm>
          <a:off x="3943352" y="10256959"/>
          <a:ext cx="120361" cy="145207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oneCellAnchor>
    <xdr:from>
      <xdr:col>6</xdr:col>
      <xdr:colOff>462915</xdr:colOff>
      <xdr:row>54</xdr:row>
      <xdr:rowOff>26670</xdr:rowOff>
    </xdr:from>
    <xdr:ext cx="126537" cy="126756"/>
    <xdr:pic>
      <xdr:nvPicPr>
        <xdr:cNvPr id="62" name="รูปภาพ 38">
          <a:extLst>
            <a:ext uri="{FF2B5EF4-FFF2-40B4-BE49-F238E27FC236}">
              <a16:creationId xmlns:a16="http://schemas.microsoft.com/office/drawing/2014/main" id="{CB5D8220-5FC6-4749-91BF-C0B97B165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9065" y="10266045"/>
          <a:ext cx="126537" cy="12675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63B7A-8474-478B-87D9-6D184E595E0E}">
  <dimension ref="B2:N95"/>
  <sheetViews>
    <sheetView tabSelected="1" topLeftCell="A63" zoomScale="85" zoomScaleNormal="85" workbookViewId="0">
      <selection activeCell="O73" sqref="O73"/>
    </sheetView>
  </sheetViews>
  <sheetFormatPr defaultRowHeight="15"/>
  <sheetData>
    <row r="2" spans="2:14">
      <c r="C2" s="1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2:14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2:14"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2:14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2:14">
      <c r="B6" s="4" t="s">
        <v>1</v>
      </c>
      <c r="C6" s="4"/>
      <c r="D6" s="5" t="s">
        <v>2</v>
      </c>
      <c r="E6" s="5"/>
      <c r="F6" s="5"/>
      <c r="G6" s="5"/>
      <c r="H6" s="5"/>
      <c r="I6" s="5"/>
      <c r="J6" s="5"/>
      <c r="K6" s="5"/>
      <c r="L6" s="5"/>
      <c r="M6" s="5"/>
      <c r="N6" s="5"/>
    </row>
    <row r="7" spans="2:14">
      <c r="B7" s="4"/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9" spans="2:14">
      <c r="G9" s="6" t="s">
        <v>3</v>
      </c>
      <c r="H9" s="6"/>
      <c r="I9" s="6" t="s">
        <v>4</v>
      </c>
      <c r="J9" s="6"/>
      <c r="K9" s="6" t="s">
        <v>5</v>
      </c>
      <c r="L9" s="6"/>
      <c r="M9" s="6" t="s">
        <v>6</v>
      </c>
      <c r="N9" s="6"/>
    </row>
    <row r="10" spans="2:14">
      <c r="G10" s="7"/>
      <c r="H10" s="8"/>
      <c r="I10" s="7"/>
      <c r="J10" s="8"/>
      <c r="K10" s="7"/>
      <c r="L10" s="8"/>
      <c r="M10" s="9"/>
      <c r="N10" s="10"/>
    </row>
    <row r="11" spans="2:14">
      <c r="G11" s="11"/>
      <c r="H11" s="12"/>
      <c r="I11" s="11"/>
      <c r="J11" s="12"/>
      <c r="K11" s="11"/>
      <c r="L11" s="12"/>
      <c r="M11" s="13"/>
      <c r="N11" s="14"/>
    </row>
    <row r="12" spans="2:14">
      <c r="G12" s="15" t="s">
        <v>7</v>
      </c>
      <c r="H12" s="16"/>
      <c r="I12" s="15" t="s">
        <v>7</v>
      </c>
      <c r="J12" s="16"/>
      <c r="K12" s="15" t="s">
        <v>7</v>
      </c>
      <c r="L12" s="16"/>
      <c r="M12" s="15" t="s">
        <v>7</v>
      </c>
      <c r="N12" s="16"/>
    </row>
    <row r="14" spans="2:14" ht="15.75">
      <c r="B14" s="17" t="s">
        <v>8</v>
      </c>
      <c r="C14" s="17"/>
      <c r="D14" s="17" t="s">
        <v>9</v>
      </c>
      <c r="E14" s="17"/>
      <c r="F14" s="17" t="s">
        <v>10</v>
      </c>
      <c r="G14" s="17"/>
      <c r="H14" s="17"/>
      <c r="I14" s="17" t="s">
        <v>11</v>
      </c>
      <c r="J14" s="17"/>
      <c r="K14" s="17"/>
      <c r="L14" s="17" t="s">
        <v>12</v>
      </c>
      <c r="M14" s="17"/>
      <c r="N14" s="17"/>
    </row>
    <row r="15" spans="2:14" ht="15.75">
      <c r="B15" s="18" t="s">
        <v>13</v>
      </c>
      <c r="C15" s="18"/>
      <c r="D15" s="19" t="s">
        <v>14</v>
      </c>
      <c r="E15" s="20"/>
      <c r="F15" s="18" t="s">
        <v>15</v>
      </c>
      <c r="G15" s="18"/>
      <c r="H15" s="18"/>
      <c r="I15" s="18" t="s">
        <v>16</v>
      </c>
      <c r="J15" s="18"/>
      <c r="K15" s="18"/>
      <c r="L15" s="21">
        <v>46049</v>
      </c>
      <c r="M15" s="22"/>
      <c r="N15" s="23"/>
    </row>
    <row r="16" spans="2:14" ht="15.75">
      <c r="B16" s="18"/>
      <c r="C16" s="18"/>
      <c r="D16" s="19"/>
      <c r="E16" s="20"/>
      <c r="F16" s="18"/>
      <c r="G16" s="18"/>
      <c r="H16" s="18"/>
      <c r="I16" s="18"/>
      <c r="J16" s="18"/>
      <c r="K16" s="18"/>
      <c r="L16" s="21"/>
      <c r="M16" s="22"/>
      <c r="N16" s="23"/>
    </row>
    <row r="17" spans="2:14" ht="15.75"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5"/>
      <c r="M17" s="24"/>
      <c r="N17" s="24"/>
    </row>
    <row r="18" spans="2:14">
      <c r="B18" s="26" t="s">
        <v>17</v>
      </c>
      <c r="C18" s="26"/>
      <c r="D18" s="26"/>
      <c r="E18" s="26"/>
      <c r="F18" s="27" t="s">
        <v>18</v>
      </c>
      <c r="G18" s="27"/>
      <c r="H18" s="27"/>
      <c r="I18" s="27"/>
      <c r="J18" s="27"/>
      <c r="K18" s="27"/>
      <c r="L18" s="27"/>
      <c r="M18" s="27"/>
      <c r="N18" s="27"/>
    </row>
    <row r="19" spans="2:14">
      <c r="B19" s="26"/>
      <c r="C19" s="26"/>
      <c r="D19" s="26"/>
      <c r="E19" s="26"/>
      <c r="F19" s="27"/>
      <c r="G19" s="27"/>
      <c r="H19" s="27"/>
      <c r="I19" s="27"/>
      <c r="J19" s="27"/>
      <c r="K19" s="27"/>
      <c r="L19" s="27"/>
      <c r="M19" s="27"/>
      <c r="N19" s="27"/>
    </row>
    <row r="20" spans="2:14">
      <c r="B20" s="26" t="s">
        <v>19</v>
      </c>
      <c r="C20" s="26"/>
      <c r="D20" s="26"/>
      <c r="E20" s="26"/>
      <c r="F20" s="27" t="s">
        <v>20</v>
      </c>
      <c r="G20" s="27"/>
      <c r="H20" s="27"/>
      <c r="I20" s="27"/>
      <c r="J20" s="27"/>
      <c r="K20" s="27"/>
      <c r="L20" s="27"/>
      <c r="M20" s="27"/>
      <c r="N20" s="27"/>
    </row>
    <row r="21" spans="2:14">
      <c r="B21" s="26"/>
      <c r="C21" s="26"/>
      <c r="D21" s="26"/>
      <c r="E21" s="26"/>
      <c r="F21" s="27"/>
      <c r="G21" s="27"/>
      <c r="H21" s="27"/>
      <c r="I21" s="27"/>
      <c r="J21" s="27"/>
      <c r="K21" s="27"/>
      <c r="L21" s="27"/>
      <c r="M21" s="27"/>
      <c r="N21" s="27"/>
    </row>
    <row r="22" spans="2:14">
      <c r="B22" s="26" t="s">
        <v>21</v>
      </c>
      <c r="C22" s="26"/>
      <c r="D22" s="26"/>
      <c r="E22" s="26"/>
      <c r="F22" s="27">
        <v>28</v>
      </c>
      <c r="G22" s="27"/>
      <c r="H22" s="27"/>
      <c r="I22" s="27"/>
      <c r="J22" s="27"/>
      <c r="K22" s="27"/>
      <c r="L22" s="27"/>
      <c r="M22" s="27"/>
      <c r="N22" s="27"/>
    </row>
    <row r="23" spans="2:14">
      <c r="B23" s="26"/>
      <c r="C23" s="26"/>
      <c r="D23" s="26"/>
      <c r="E23" s="26"/>
      <c r="F23" s="27"/>
      <c r="G23" s="27"/>
      <c r="H23" s="27"/>
      <c r="I23" s="27"/>
      <c r="J23" s="27"/>
      <c r="K23" s="27"/>
      <c r="L23" s="27"/>
      <c r="M23" s="27"/>
      <c r="N23" s="27"/>
    </row>
    <row r="24" spans="2:14">
      <c r="B24" s="26" t="s">
        <v>22</v>
      </c>
      <c r="C24" s="26"/>
      <c r="D24" s="26"/>
      <c r="E24" s="26"/>
      <c r="F24" s="27">
        <v>3</v>
      </c>
      <c r="G24" s="27"/>
      <c r="H24" s="27"/>
      <c r="I24" s="27"/>
      <c r="J24" s="27"/>
      <c r="K24" s="27"/>
      <c r="L24" s="27"/>
      <c r="M24" s="27"/>
      <c r="N24" s="27"/>
    </row>
    <row r="25" spans="2:14">
      <c r="B25" s="26"/>
      <c r="C25" s="26"/>
      <c r="D25" s="26"/>
      <c r="E25" s="26"/>
      <c r="F25" s="27"/>
      <c r="G25" s="27"/>
      <c r="H25" s="27"/>
      <c r="I25" s="27"/>
      <c r="J25" s="27"/>
      <c r="K25" s="27"/>
      <c r="L25" s="27"/>
      <c r="M25" s="27"/>
      <c r="N25" s="27"/>
    </row>
    <row r="26" spans="2:14" ht="20.25">
      <c r="B26" s="28"/>
      <c r="C26" s="28"/>
      <c r="D26" s="28"/>
      <c r="E26" s="28"/>
      <c r="F26" s="29"/>
      <c r="G26" s="29"/>
      <c r="H26" s="29"/>
      <c r="I26" s="29"/>
      <c r="J26" s="29"/>
      <c r="K26" s="29"/>
      <c r="L26" s="30"/>
      <c r="M26" s="29"/>
      <c r="N26" s="29"/>
    </row>
    <row r="27" spans="2:14" ht="20.25">
      <c r="B27" s="31" t="s">
        <v>23</v>
      </c>
      <c r="C27" s="32"/>
      <c r="D27" s="32"/>
      <c r="E27" s="32"/>
      <c r="F27" s="33"/>
      <c r="G27" s="33"/>
      <c r="H27" s="33"/>
      <c r="I27" s="33"/>
      <c r="J27" s="33"/>
      <c r="K27" s="33"/>
      <c r="L27" s="33"/>
      <c r="M27" s="33"/>
      <c r="N27" s="33"/>
    </row>
    <row r="28" spans="2:14">
      <c r="B28" s="34" t="s">
        <v>24</v>
      </c>
      <c r="C28" s="34"/>
      <c r="D28" s="34"/>
      <c r="E28" s="34"/>
      <c r="F28" s="35" t="s">
        <v>25</v>
      </c>
      <c r="G28" s="36"/>
      <c r="H28" s="36"/>
      <c r="I28" s="36"/>
      <c r="J28" s="36"/>
      <c r="K28" s="36"/>
      <c r="L28" s="36"/>
      <c r="M28" s="36"/>
      <c r="N28" s="37"/>
    </row>
    <row r="29" spans="2:14">
      <c r="B29" s="34"/>
      <c r="C29" s="34"/>
      <c r="D29" s="34"/>
      <c r="E29" s="34"/>
      <c r="F29" s="38"/>
      <c r="G29" s="39"/>
      <c r="H29" s="39"/>
      <c r="I29" s="39"/>
      <c r="J29" s="39"/>
      <c r="K29" s="39"/>
      <c r="L29" s="39"/>
      <c r="M29" s="39"/>
      <c r="N29" s="40"/>
    </row>
    <row r="30" spans="2:14" ht="45">
      <c r="B30" s="41"/>
      <c r="C30" s="41"/>
      <c r="D30" s="41"/>
      <c r="E30" s="41"/>
      <c r="F30" s="29"/>
      <c r="G30" s="29"/>
      <c r="H30" s="29"/>
      <c r="I30" s="29"/>
      <c r="J30" s="29"/>
      <c r="K30" s="29"/>
      <c r="L30" s="29"/>
      <c r="M30" s="29"/>
      <c r="N30" s="29"/>
    </row>
    <row r="31" spans="2:14" ht="20.25">
      <c r="B31" s="42" t="s">
        <v>26</v>
      </c>
      <c r="C31" s="32"/>
      <c r="D31" s="32"/>
      <c r="E31" s="32"/>
      <c r="F31" s="33"/>
      <c r="G31" s="33"/>
      <c r="H31" s="33"/>
      <c r="I31" s="33"/>
      <c r="J31" s="33"/>
      <c r="K31" s="33"/>
      <c r="L31" s="33"/>
      <c r="M31" s="33"/>
      <c r="N31" s="33"/>
    </row>
    <row r="32" spans="2:14">
      <c r="B32" s="34" t="s">
        <v>24</v>
      </c>
      <c r="C32" s="34"/>
      <c r="D32" s="34"/>
      <c r="E32" s="34"/>
      <c r="F32" s="35" t="s">
        <v>27</v>
      </c>
      <c r="G32" s="36"/>
      <c r="H32" s="36"/>
      <c r="I32" s="36"/>
      <c r="J32" s="36"/>
      <c r="K32" s="36"/>
      <c r="L32" s="36"/>
      <c r="M32" s="36"/>
      <c r="N32" s="37"/>
    </row>
    <row r="33" spans="2:14">
      <c r="B33" s="34"/>
      <c r="C33" s="34"/>
      <c r="D33" s="34"/>
      <c r="E33" s="34"/>
      <c r="F33" s="38"/>
      <c r="G33" s="39"/>
      <c r="H33" s="39"/>
      <c r="I33" s="39"/>
      <c r="J33" s="39"/>
      <c r="K33" s="39"/>
      <c r="L33" s="39"/>
      <c r="M33" s="39"/>
      <c r="N33" s="40"/>
    </row>
    <row r="34" spans="2:14" ht="45"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</row>
    <row r="35" spans="2:14" ht="15.75">
      <c r="B35" s="31" t="s">
        <v>28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3"/>
    </row>
    <row r="36" spans="2:14">
      <c r="B36" s="44"/>
      <c r="C36" s="44" t="s">
        <v>29</v>
      </c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3"/>
    </row>
    <row r="37" spans="2:14">
      <c r="B37" s="44"/>
      <c r="C37" s="44" t="s">
        <v>30</v>
      </c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3"/>
    </row>
    <row r="38" spans="2:14">
      <c r="B38" s="44"/>
      <c r="C38" s="44" t="s">
        <v>31</v>
      </c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3"/>
    </row>
    <row r="39" spans="2:14">
      <c r="B39" s="44"/>
      <c r="C39" s="44" t="s">
        <v>32</v>
      </c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3"/>
    </row>
    <row r="40" spans="2:14">
      <c r="B40" s="44"/>
      <c r="C40" s="44" t="s">
        <v>33</v>
      </c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3"/>
    </row>
    <row r="41" spans="2:14" ht="15.75">
      <c r="B41" s="44"/>
      <c r="C41" s="44" t="s">
        <v>34</v>
      </c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3"/>
    </row>
    <row r="42" spans="2:14" ht="15.75">
      <c r="B42" s="31" t="s">
        <v>35</v>
      </c>
      <c r="C42" s="44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3"/>
    </row>
    <row r="43" spans="2:14" ht="15.75">
      <c r="B43" s="44"/>
      <c r="C43" s="44" t="s">
        <v>36</v>
      </c>
      <c r="D43" s="44"/>
      <c r="E43" s="42"/>
      <c r="F43" s="42"/>
      <c r="G43" s="42"/>
      <c r="H43" s="42"/>
      <c r="I43" s="42"/>
      <c r="J43" s="42"/>
      <c r="K43" s="42"/>
      <c r="L43" s="42"/>
      <c r="M43" s="42"/>
      <c r="N43" s="43"/>
    </row>
    <row r="44" spans="2:14" ht="15.75">
      <c r="B44" s="44"/>
      <c r="C44" s="44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3"/>
    </row>
    <row r="45" spans="2:14" ht="15.75">
      <c r="B45" s="44"/>
      <c r="C45" s="44" t="s">
        <v>37</v>
      </c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3"/>
    </row>
    <row r="46" spans="2:14" ht="15.75">
      <c r="B46" s="44"/>
      <c r="C46" s="44"/>
      <c r="D46" s="44" t="s">
        <v>38</v>
      </c>
      <c r="E46" s="42"/>
      <c r="F46" s="43"/>
      <c r="G46" s="44"/>
      <c r="H46" s="44" t="s">
        <v>39</v>
      </c>
      <c r="I46" s="42"/>
      <c r="J46" s="42"/>
      <c r="K46" s="44"/>
      <c r="L46" s="44" t="s">
        <v>40</v>
      </c>
      <c r="M46" s="42"/>
      <c r="N46" s="43"/>
    </row>
    <row r="47" spans="2:14" ht="15.75">
      <c r="B47" s="44"/>
      <c r="C47" s="44"/>
      <c r="D47" s="44" t="s">
        <v>41</v>
      </c>
      <c r="E47" s="42"/>
      <c r="F47" s="43"/>
      <c r="G47" s="44"/>
      <c r="H47" s="44" t="s">
        <v>42</v>
      </c>
      <c r="I47" s="42"/>
      <c r="J47" s="42"/>
      <c r="K47" s="44"/>
      <c r="L47" s="44" t="s">
        <v>43</v>
      </c>
      <c r="M47" s="42"/>
      <c r="N47" s="43"/>
    </row>
    <row r="48" spans="2:14" ht="15.75">
      <c r="B48" s="44"/>
      <c r="C48" s="44"/>
      <c r="D48" s="44" t="s">
        <v>44</v>
      </c>
      <c r="E48" s="42"/>
      <c r="F48" s="43"/>
      <c r="G48" s="44"/>
      <c r="H48" s="44" t="s">
        <v>45</v>
      </c>
      <c r="I48" s="42"/>
      <c r="J48" s="42"/>
      <c r="K48" s="44"/>
      <c r="L48" s="44" t="s">
        <v>46</v>
      </c>
      <c r="M48" s="42"/>
      <c r="N48" s="43"/>
    </row>
    <row r="49" spans="2:14" ht="15.75">
      <c r="B49" s="44"/>
      <c r="C49" s="44" t="s">
        <v>47</v>
      </c>
      <c r="D49" s="44"/>
      <c r="E49" s="42"/>
      <c r="F49" s="42"/>
      <c r="G49" s="42"/>
      <c r="H49" s="42"/>
      <c r="I49" s="42"/>
      <c r="J49" s="42"/>
      <c r="K49" s="42"/>
      <c r="L49" s="42"/>
      <c r="M49" s="42"/>
      <c r="N49" s="43"/>
    </row>
    <row r="50" spans="2:14" ht="15.75">
      <c r="B50" s="31"/>
      <c r="C50" s="44"/>
      <c r="D50" s="44" t="s">
        <v>48</v>
      </c>
      <c r="E50" s="44"/>
      <c r="F50" s="42"/>
      <c r="G50" s="42"/>
    </row>
    <row r="51" spans="2:14" ht="15.75">
      <c r="B51" s="31"/>
      <c r="C51" s="44"/>
      <c r="D51" s="44"/>
      <c r="E51" s="44" t="s">
        <v>38</v>
      </c>
      <c r="F51" s="42"/>
      <c r="G51" s="44"/>
      <c r="H51" s="44" t="s">
        <v>49</v>
      </c>
    </row>
    <row r="52" spans="2:14" ht="15.75">
      <c r="B52" s="31"/>
      <c r="C52" s="44"/>
      <c r="D52" s="44"/>
      <c r="E52" s="44" t="s">
        <v>41</v>
      </c>
      <c r="F52" s="42"/>
      <c r="G52" s="44"/>
      <c r="H52" s="44" t="s">
        <v>46</v>
      </c>
    </row>
    <row r="53" spans="2:14" ht="15.75">
      <c r="B53" s="31"/>
      <c r="C53" s="42"/>
      <c r="D53" s="44"/>
      <c r="E53" s="44" t="s">
        <v>44</v>
      </c>
      <c r="F53" s="42"/>
      <c r="G53" s="42"/>
    </row>
    <row r="54" spans="2:14" ht="15.75">
      <c r="B54" s="31"/>
      <c r="C54" s="44"/>
      <c r="D54" s="44" t="s">
        <v>50</v>
      </c>
      <c r="E54" s="44"/>
      <c r="F54" s="42"/>
      <c r="G54" s="42"/>
    </row>
    <row r="55" spans="2:14" ht="15.75">
      <c r="B55" s="31"/>
      <c r="C55" s="44"/>
      <c r="D55" s="44"/>
      <c r="E55" s="44" t="s">
        <v>38</v>
      </c>
      <c r="F55" s="42"/>
      <c r="G55" s="44"/>
      <c r="H55" s="44" t="s">
        <v>49</v>
      </c>
    </row>
    <row r="56" spans="2:14" ht="15.75">
      <c r="B56" s="31"/>
      <c r="C56" s="44"/>
      <c r="D56" s="44"/>
      <c r="E56" s="44" t="s">
        <v>41</v>
      </c>
      <c r="F56" s="42"/>
      <c r="G56" s="44"/>
      <c r="H56" s="44" t="s">
        <v>46</v>
      </c>
    </row>
    <row r="57" spans="2:14" ht="15.75">
      <c r="B57" s="44"/>
      <c r="C57" s="42"/>
      <c r="D57" s="44"/>
      <c r="E57" s="44" t="s">
        <v>44</v>
      </c>
      <c r="F57" s="42"/>
      <c r="G57" s="42"/>
    </row>
    <row r="58" spans="2:14" ht="15.75">
      <c r="B58" s="31" t="s">
        <v>51</v>
      </c>
      <c r="C58" s="44"/>
      <c r="D58" s="42"/>
      <c r="L58" s="42"/>
      <c r="M58" s="42"/>
      <c r="N58" s="42"/>
    </row>
    <row r="59" spans="2:14">
      <c r="B59" s="43"/>
      <c r="C59" s="43"/>
      <c r="D59" s="44"/>
      <c r="E59" s="44" t="s">
        <v>48</v>
      </c>
      <c r="G59" s="44"/>
      <c r="H59" s="44" t="s">
        <v>49</v>
      </c>
    </row>
    <row r="60" spans="2:14">
      <c r="C60" s="43"/>
      <c r="D60" s="43"/>
      <c r="G60" s="44"/>
      <c r="H60" s="44" t="s">
        <v>46</v>
      </c>
    </row>
    <row r="61" spans="2:14">
      <c r="D61" s="44"/>
      <c r="E61" s="44" t="s">
        <v>50</v>
      </c>
      <c r="G61" s="44"/>
      <c r="H61" s="44" t="s">
        <v>49</v>
      </c>
    </row>
    <row r="62" spans="2:14">
      <c r="D62" s="43"/>
      <c r="G62" s="44"/>
      <c r="H62" s="44" t="s">
        <v>46</v>
      </c>
    </row>
    <row r="66" spans="4:13" ht="15.75">
      <c r="D66" s="17" t="s">
        <v>52</v>
      </c>
      <c r="E66" s="17"/>
      <c r="F66" s="17"/>
      <c r="G66" s="17"/>
      <c r="H66" s="17"/>
      <c r="I66" s="17"/>
      <c r="J66" s="17"/>
      <c r="K66" s="17"/>
      <c r="L66" s="17"/>
      <c r="M66" s="17"/>
    </row>
    <row r="67" spans="4:13">
      <c r="D67" s="45" t="s">
        <v>53</v>
      </c>
      <c r="E67" s="46"/>
      <c r="F67" s="47" t="s">
        <v>54</v>
      </c>
      <c r="G67" s="47"/>
      <c r="H67" s="48" t="s">
        <v>55</v>
      </c>
      <c r="I67" s="49"/>
      <c r="J67" s="50" t="s">
        <v>56</v>
      </c>
      <c r="K67" s="51"/>
      <c r="L67" s="52" t="s">
        <v>57</v>
      </c>
      <c r="M67" s="53"/>
    </row>
    <row r="68" spans="4:13">
      <c r="D68" s="54"/>
      <c r="E68" s="55"/>
      <c r="F68" s="56" t="s">
        <v>13</v>
      </c>
      <c r="G68" s="56" t="s">
        <v>58</v>
      </c>
      <c r="H68" s="57" t="s">
        <v>59</v>
      </c>
      <c r="I68" s="57" t="s">
        <v>60</v>
      </c>
      <c r="J68" s="58" t="s">
        <v>61</v>
      </c>
      <c r="K68" s="58" t="s">
        <v>62</v>
      </c>
      <c r="L68" s="59"/>
      <c r="M68" s="60"/>
    </row>
    <row r="69" spans="4:13" ht="15.75">
      <c r="D69" s="61"/>
      <c r="E69" s="61"/>
      <c r="F69" s="62">
        <v>35640</v>
      </c>
      <c r="G69" s="63">
        <v>-40</v>
      </c>
      <c r="H69" s="63">
        <f>G69</f>
        <v>-40</v>
      </c>
      <c r="I69" s="64"/>
      <c r="J69" s="65">
        <f>G69-2</f>
        <v>-42</v>
      </c>
      <c r="K69" s="65">
        <f>G69+2</f>
        <v>-38</v>
      </c>
      <c r="L69" s="66" t="s">
        <v>63</v>
      </c>
      <c r="M69" s="67"/>
    </row>
    <row r="70" spans="4:13" ht="15.75">
      <c r="D70" s="61"/>
      <c r="E70" s="61"/>
      <c r="F70" s="62">
        <v>13113</v>
      </c>
      <c r="G70" s="63">
        <v>-20</v>
      </c>
      <c r="H70" s="63">
        <f>G70</f>
        <v>-20</v>
      </c>
      <c r="I70" s="64"/>
      <c r="J70" s="65">
        <f>G70-2</f>
        <v>-22</v>
      </c>
      <c r="K70" s="65">
        <f>G70+2</f>
        <v>-18</v>
      </c>
      <c r="L70" s="66" t="s">
        <v>63</v>
      </c>
      <c r="M70" s="67"/>
    </row>
    <row r="71" spans="4:13" ht="15.75">
      <c r="D71" s="61"/>
      <c r="E71" s="61"/>
      <c r="F71" s="62">
        <v>5397</v>
      </c>
      <c r="G71" s="63">
        <v>0</v>
      </c>
      <c r="H71" s="63">
        <f t="shared" ref="H71:H75" si="0">G71</f>
        <v>0</v>
      </c>
      <c r="I71" s="64"/>
      <c r="J71" s="65">
        <f t="shared" ref="J71:J75" si="1">G71-2</f>
        <v>-2</v>
      </c>
      <c r="K71" s="65">
        <f t="shared" ref="K71:K75" si="2">G71+2</f>
        <v>2</v>
      </c>
      <c r="L71" s="66" t="s">
        <v>63</v>
      </c>
      <c r="M71" s="67"/>
    </row>
    <row r="72" spans="4:13" ht="15.75">
      <c r="D72" s="61"/>
      <c r="E72" s="61"/>
      <c r="F72" s="62">
        <v>2489</v>
      </c>
      <c r="G72" s="63">
        <v>20</v>
      </c>
      <c r="H72" s="63">
        <f t="shared" si="0"/>
        <v>20</v>
      </c>
      <c r="I72" s="64"/>
      <c r="J72" s="65">
        <f t="shared" si="1"/>
        <v>18</v>
      </c>
      <c r="K72" s="65">
        <f t="shared" si="2"/>
        <v>22</v>
      </c>
      <c r="L72" s="66" t="s">
        <v>63</v>
      </c>
      <c r="M72" s="67"/>
    </row>
    <row r="73" spans="4:13" ht="15.75">
      <c r="D73" s="61"/>
      <c r="E73" s="61"/>
      <c r="F73" s="62">
        <v>1158</v>
      </c>
      <c r="G73" s="63">
        <v>40</v>
      </c>
      <c r="H73" s="63">
        <f t="shared" si="0"/>
        <v>40</v>
      </c>
      <c r="I73" s="64"/>
      <c r="J73" s="65">
        <f t="shared" si="1"/>
        <v>38</v>
      </c>
      <c r="K73" s="65">
        <f t="shared" si="2"/>
        <v>42</v>
      </c>
      <c r="L73" s="66" t="s">
        <v>63</v>
      </c>
      <c r="M73" s="67"/>
    </row>
    <row r="74" spans="4:13" ht="15.75">
      <c r="D74" s="61"/>
      <c r="E74" s="61"/>
      <c r="F74" s="62">
        <v>589</v>
      </c>
      <c r="G74" s="63">
        <v>60</v>
      </c>
      <c r="H74" s="63">
        <f t="shared" si="0"/>
        <v>60</v>
      </c>
      <c r="I74" s="64"/>
      <c r="J74" s="65">
        <f t="shared" si="1"/>
        <v>58</v>
      </c>
      <c r="K74" s="65">
        <f t="shared" si="2"/>
        <v>62</v>
      </c>
      <c r="L74" s="66" t="s">
        <v>63</v>
      </c>
      <c r="M74" s="67"/>
    </row>
    <row r="75" spans="4:13" ht="15.75">
      <c r="D75" s="61"/>
      <c r="E75" s="61"/>
      <c r="F75" s="62">
        <v>318</v>
      </c>
      <c r="G75" s="63">
        <v>80</v>
      </c>
      <c r="H75" s="63">
        <f t="shared" si="0"/>
        <v>80</v>
      </c>
      <c r="I75" s="64"/>
      <c r="J75" s="65">
        <f t="shared" si="1"/>
        <v>78</v>
      </c>
      <c r="K75" s="65">
        <f t="shared" si="2"/>
        <v>82</v>
      </c>
      <c r="L75" s="66" t="s">
        <v>63</v>
      </c>
      <c r="M75" s="67"/>
    </row>
    <row r="76" spans="4:13" ht="15.75">
      <c r="D76" s="61"/>
      <c r="E76" s="61"/>
      <c r="F76" s="62">
        <v>180</v>
      </c>
      <c r="G76" s="63">
        <v>100</v>
      </c>
      <c r="H76" s="63">
        <f>G76</f>
        <v>100</v>
      </c>
      <c r="I76" s="64"/>
      <c r="J76" s="65">
        <f>G76-2</f>
        <v>98</v>
      </c>
      <c r="K76" s="65">
        <f>G76+2</f>
        <v>102</v>
      </c>
      <c r="L76" s="66" t="s">
        <v>63</v>
      </c>
      <c r="M76" s="67"/>
    </row>
    <row r="77" spans="4:13" ht="15.75">
      <c r="D77" s="61"/>
      <c r="E77" s="61"/>
      <c r="F77" s="62">
        <v>86</v>
      </c>
      <c r="G77" s="63">
        <v>130</v>
      </c>
      <c r="H77" s="63">
        <f>G77</f>
        <v>130</v>
      </c>
      <c r="I77" s="64"/>
      <c r="J77" s="65">
        <f>G77-2</f>
        <v>128</v>
      </c>
      <c r="K77" s="65">
        <f>G77+2</f>
        <v>132</v>
      </c>
      <c r="L77" s="66" t="s">
        <v>63</v>
      </c>
      <c r="M77" s="67"/>
    </row>
    <row r="78" spans="4:13" ht="15.75">
      <c r="D78" s="61"/>
      <c r="E78" s="61"/>
      <c r="F78" s="62">
        <v>35640</v>
      </c>
      <c r="G78" s="63">
        <v>-40</v>
      </c>
      <c r="H78" s="63">
        <f>G78</f>
        <v>-40</v>
      </c>
      <c r="I78" s="64"/>
      <c r="J78" s="65">
        <f>G78-2</f>
        <v>-42</v>
      </c>
      <c r="K78" s="65">
        <f>G78+2</f>
        <v>-38</v>
      </c>
      <c r="L78" s="66" t="s">
        <v>63</v>
      </c>
      <c r="M78" s="67"/>
    </row>
    <row r="79" spans="4:13" ht="15.75">
      <c r="D79" s="61"/>
      <c r="E79" s="61"/>
      <c r="F79" s="62">
        <v>13113</v>
      </c>
      <c r="G79" s="63">
        <v>-20</v>
      </c>
      <c r="H79" s="63">
        <f>G79</f>
        <v>-20</v>
      </c>
      <c r="I79" s="64"/>
      <c r="J79" s="65">
        <f>G79-2</f>
        <v>-22</v>
      </c>
      <c r="K79" s="65">
        <f>G79+2</f>
        <v>-18</v>
      </c>
      <c r="L79" s="66" t="s">
        <v>63</v>
      </c>
      <c r="M79" s="67"/>
    </row>
    <row r="80" spans="4:13" ht="15.75">
      <c r="D80" s="61"/>
      <c r="E80" s="61"/>
      <c r="F80" s="62">
        <v>5397</v>
      </c>
      <c r="G80" s="63">
        <v>0</v>
      </c>
      <c r="H80" s="63">
        <f t="shared" ref="H80:H84" si="3">G80</f>
        <v>0</v>
      </c>
      <c r="I80" s="64"/>
      <c r="J80" s="65">
        <f t="shared" ref="J80:J84" si="4">G80-2</f>
        <v>-2</v>
      </c>
      <c r="K80" s="65">
        <f t="shared" ref="K80:K84" si="5">G80+2</f>
        <v>2</v>
      </c>
      <c r="L80" s="66" t="s">
        <v>63</v>
      </c>
      <c r="M80" s="67"/>
    </row>
    <row r="81" spans="4:13" ht="15.75">
      <c r="D81" s="61"/>
      <c r="E81" s="61"/>
      <c r="F81" s="62">
        <v>2489</v>
      </c>
      <c r="G81" s="63">
        <v>20</v>
      </c>
      <c r="H81" s="63">
        <f t="shared" si="3"/>
        <v>20</v>
      </c>
      <c r="I81" s="64"/>
      <c r="J81" s="65">
        <f t="shared" si="4"/>
        <v>18</v>
      </c>
      <c r="K81" s="65">
        <f t="shared" si="5"/>
        <v>22</v>
      </c>
      <c r="L81" s="66" t="s">
        <v>63</v>
      </c>
      <c r="M81" s="67"/>
    </row>
    <row r="82" spans="4:13" ht="15.75">
      <c r="D82" s="61"/>
      <c r="E82" s="61"/>
      <c r="F82" s="62">
        <v>1158</v>
      </c>
      <c r="G82" s="63">
        <v>40</v>
      </c>
      <c r="H82" s="63">
        <f t="shared" si="3"/>
        <v>40</v>
      </c>
      <c r="I82" s="64"/>
      <c r="J82" s="65">
        <f t="shared" si="4"/>
        <v>38</v>
      </c>
      <c r="K82" s="65">
        <f t="shared" si="5"/>
        <v>42</v>
      </c>
      <c r="L82" s="66" t="s">
        <v>63</v>
      </c>
      <c r="M82" s="67"/>
    </row>
    <row r="83" spans="4:13" ht="15.75">
      <c r="D83" s="61"/>
      <c r="E83" s="61"/>
      <c r="F83" s="62">
        <v>589</v>
      </c>
      <c r="G83" s="63">
        <v>60</v>
      </c>
      <c r="H83" s="63">
        <f t="shared" si="3"/>
        <v>60</v>
      </c>
      <c r="I83" s="64"/>
      <c r="J83" s="65">
        <f t="shared" si="4"/>
        <v>58</v>
      </c>
      <c r="K83" s="65">
        <f t="shared" si="5"/>
        <v>62</v>
      </c>
      <c r="L83" s="66" t="s">
        <v>63</v>
      </c>
      <c r="M83" s="67"/>
    </row>
    <row r="84" spans="4:13" ht="15.75">
      <c r="D84" s="61"/>
      <c r="E84" s="61"/>
      <c r="F84" s="62">
        <v>318</v>
      </c>
      <c r="G84" s="63">
        <v>80</v>
      </c>
      <c r="H84" s="63">
        <f t="shared" si="3"/>
        <v>80</v>
      </c>
      <c r="I84" s="64"/>
      <c r="J84" s="65">
        <f t="shared" si="4"/>
        <v>78</v>
      </c>
      <c r="K84" s="65">
        <f t="shared" si="5"/>
        <v>82</v>
      </c>
      <c r="L84" s="66" t="s">
        <v>63</v>
      </c>
      <c r="M84" s="67"/>
    </row>
    <row r="85" spans="4:13" ht="15.75">
      <c r="D85" s="61"/>
      <c r="E85" s="61"/>
      <c r="F85" s="62">
        <v>180</v>
      </c>
      <c r="G85" s="63">
        <v>100</v>
      </c>
      <c r="H85" s="63">
        <f>G85</f>
        <v>100</v>
      </c>
      <c r="I85" s="64"/>
      <c r="J85" s="65">
        <f>G85-2</f>
        <v>98</v>
      </c>
      <c r="K85" s="65">
        <f>G85+2</f>
        <v>102</v>
      </c>
      <c r="L85" s="66" t="s">
        <v>63</v>
      </c>
      <c r="M85" s="67"/>
    </row>
    <row r="86" spans="4:13" ht="15.75">
      <c r="D86" s="61"/>
      <c r="E86" s="61"/>
      <c r="F86" s="62">
        <v>86</v>
      </c>
      <c r="G86" s="63">
        <v>130</v>
      </c>
      <c r="H86" s="63">
        <f>G86</f>
        <v>130</v>
      </c>
      <c r="I86" s="64"/>
      <c r="J86" s="65">
        <f>G86-2</f>
        <v>128</v>
      </c>
      <c r="K86" s="65">
        <f>G86+2</f>
        <v>132</v>
      </c>
      <c r="L86" s="66" t="s">
        <v>63</v>
      </c>
      <c r="M86" s="67"/>
    </row>
    <row r="87" spans="4:13" ht="15.75">
      <c r="D87" s="61"/>
      <c r="E87" s="61"/>
      <c r="F87" s="62">
        <v>35640</v>
      </c>
      <c r="G87" s="63">
        <v>-40</v>
      </c>
      <c r="H87" s="63">
        <f>G87</f>
        <v>-40</v>
      </c>
      <c r="I87" s="64"/>
      <c r="J87" s="65">
        <f>G87-2</f>
        <v>-42</v>
      </c>
      <c r="K87" s="65">
        <f>G87+2</f>
        <v>-38</v>
      </c>
      <c r="L87" s="66" t="s">
        <v>63</v>
      </c>
      <c r="M87" s="67"/>
    </row>
    <row r="88" spans="4:13" ht="15.75">
      <c r="D88" s="61"/>
      <c r="E88" s="61"/>
      <c r="F88" s="62">
        <v>13113</v>
      </c>
      <c r="G88" s="63">
        <v>-20</v>
      </c>
      <c r="H88" s="63">
        <f>G88</f>
        <v>-20</v>
      </c>
      <c r="I88" s="64"/>
      <c r="J88" s="65">
        <f>G88-2</f>
        <v>-22</v>
      </c>
      <c r="K88" s="65">
        <f>G88+2</f>
        <v>-18</v>
      </c>
      <c r="L88" s="66" t="s">
        <v>63</v>
      </c>
      <c r="M88" s="67"/>
    </row>
    <row r="89" spans="4:13" ht="15.75">
      <c r="D89" s="61"/>
      <c r="E89" s="61"/>
      <c r="F89" s="62">
        <v>5397</v>
      </c>
      <c r="G89" s="63">
        <v>0</v>
      </c>
      <c r="H89" s="63">
        <f t="shared" ref="H89:H93" si="6">G89</f>
        <v>0</v>
      </c>
      <c r="I89" s="64"/>
      <c r="J89" s="65">
        <f t="shared" ref="J89:J93" si="7">G89-2</f>
        <v>-2</v>
      </c>
      <c r="K89" s="65">
        <f t="shared" ref="K89:K93" si="8">G89+2</f>
        <v>2</v>
      </c>
      <c r="L89" s="66" t="s">
        <v>63</v>
      </c>
      <c r="M89" s="67"/>
    </row>
    <row r="90" spans="4:13" ht="15.75">
      <c r="D90" s="61"/>
      <c r="E90" s="61"/>
      <c r="F90" s="62">
        <v>2489</v>
      </c>
      <c r="G90" s="63">
        <v>20</v>
      </c>
      <c r="H90" s="63">
        <f t="shared" si="6"/>
        <v>20</v>
      </c>
      <c r="I90" s="64"/>
      <c r="J90" s="65">
        <f t="shared" si="7"/>
        <v>18</v>
      </c>
      <c r="K90" s="65">
        <f t="shared" si="8"/>
        <v>22</v>
      </c>
      <c r="L90" s="66" t="s">
        <v>63</v>
      </c>
      <c r="M90" s="67"/>
    </row>
    <row r="91" spans="4:13" ht="15.75">
      <c r="D91" s="61"/>
      <c r="E91" s="61"/>
      <c r="F91" s="62">
        <v>1158</v>
      </c>
      <c r="G91" s="63">
        <v>40</v>
      </c>
      <c r="H91" s="63">
        <f t="shared" si="6"/>
        <v>40</v>
      </c>
      <c r="I91" s="64"/>
      <c r="J91" s="65">
        <f t="shared" si="7"/>
        <v>38</v>
      </c>
      <c r="K91" s="65">
        <f t="shared" si="8"/>
        <v>42</v>
      </c>
      <c r="L91" s="66" t="s">
        <v>63</v>
      </c>
      <c r="M91" s="67"/>
    </row>
    <row r="92" spans="4:13" ht="15.75">
      <c r="D92" s="61"/>
      <c r="E92" s="61"/>
      <c r="F92" s="62">
        <v>589</v>
      </c>
      <c r="G92" s="63">
        <v>60</v>
      </c>
      <c r="H92" s="63">
        <f t="shared" si="6"/>
        <v>60</v>
      </c>
      <c r="I92" s="64"/>
      <c r="J92" s="65">
        <f t="shared" si="7"/>
        <v>58</v>
      </c>
      <c r="K92" s="65">
        <f t="shared" si="8"/>
        <v>62</v>
      </c>
      <c r="L92" s="66" t="s">
        <v>63</v>
      </c>
      <c r="M92" s="67"/>
    </row>
    <row r="93" spans="4:13" ht="15.75">
      <c r="D93" s="61"/>
      <c r="E93" s="61"/>
      <c r="F93" s="62">
        <v>318</v>
      </c>
      <c r="G93" s="63">
        <v>80</v>
      </c>
      <c r="H93" s="63">
        <f t="shared" si="6"/>
        <v>80</v>
      </c>
      <c r="I93" s="64"/>
      <c r="J93" s="65">
        <f t="shared" si="7"/>
        <v>78</v>
      </c>
      <c r="K93" s="65">
        <f t="shared" si="8"/>
        <v>82</v>
      </c>
      <c r="L93" s="66" t="s">
        <v>63</v>
      </c>
      <c r="M93" s="67"/>
    </row>
    <row r="94" spans="4:13" ht="15.75">
      <c r="D94" s="61"/>
      <c r="E94" s="61"/>
      <c r="F94" s="62">
        <v>180</v>
      </c>
      <c r="G94" s="63">
        <v>100</v>
      </c>
      <c r="H94" s="63">
        <f>G94</f>
        <v>100</v>
      </c>
      <c r="I94" s="64"/>
      <c r="J94" s="65">
        <f>G94-2</f>
        <v>98</v>
      </c>
      <c r="K94" s="65">
        <f>G94+2</f>
        <v>102</v>
      </c>
      <c r="L94" s="66" t="s">
        <v>63</v>
      </c>
      <c r="M94" s="67"/>
    </row>
    <row r="95" spans="4:13" ht="15.75">
      <c r="D95" s="61"/>
      <c r="E95" s="61"/>
      <c r="F95" s="62">
        <v>86</v>
      </c>
      <c r="G95" s="63">
        <v>130</v>
      </c>
      <c r="H95" s="63">
        <f>G95</f>
        <v>130</v>
      </c>
      <c r="I95" s="68"/>
      <c r="J95" s="65">
        <f>G95-2</f>
        <v>128</v>
      </c>
      <c r="K95" s="65">
        <f>G95+2</f>
        <v>132</v>
      </c>
      <c r="L95" s="66" t="s">
        <v>63</v>
      </c>
      <c r="M95" s="67"/>
    </row>
  </sheetData>
  <mergeCells count="83">
    <mergeCell ref="D87:E95"/>
    <mergeCell ref="L87:M87"/>
    <mergeCell ref="L88:M88"/>
    <mergeCell ref="L89:M89"/>
    <mergeCell ref="L90:M90"/>
    <mergeCell ref="L91:M91"/>
    <mergeCell ref="L92:M92"/>
    <mergeCell ref="L93:M93"/>
    <mergeCell ref="L94:M94"/>
    <mergeCell ref="L95:M95"/>
    <mergeCell ref="D78:E86"/>
    <mergeCell ref="L78:M78"/>
    <mergeCell ref="L79:M79"/>
    <mergeCell ref="L80:M80"/>
    <mergeCell ref="L81:M81"/>
    <mergeCell ref="L82:M82"/>
    <mergeCell ref="L83:M83"/>
    <mergeCell ref="L84:M84"/>
    <mergeCell ref="L85:M85"/>
    <mergeCell ref="L86:M86"/>
    <mergeCell ref="D69:E77"/>
    <mergeCell ref="L69:M69"/>
    <mergeCell ref="L70:M70"/>
    <mergeCell ref="L71:M71"/>
    <mergeCell ref="L72:M72"/>
    <mergeCell ref="L73:M73"/>
    <mergeCell ref="L74:M74"/>
    <mergeCell ref="L75:M75"/>
    <mergeCell ref="L76:M76"/>
    <mergeCell ref="L77:M77"/>
    <mergeCell ref="F67:G67"/>
    <mergeCell ref="H67:I67"/>
    <mergeCell ref="D66:M66"/>
    <mergeCell ref="D67:E68"/>
    <mergeCell ref="J67:K67"/>
    <mergeCell ref="L67:M68"/>
    <mergeCell ref="B24:E25"/>
    <mergeCell ref="F24:N25"/>
    <mergeCell ref="B28:E29"/>
    <mergeCell ref="F28:N29"/>
    <mergeCell ref="B32:E33"/>
    <mergeCell ref="F32:N33"/>
    <mergeCell ref="B18:E19"/>
    <mergeCell ref="F18:N19"/>
    <mergeCell ref="B20:E21"/>
    <mergeCell ref="F20:N21"/>
    <mergeCell ref="B22:E23"/>
    <mergeCell ref="F22:N23"/>
    <mergeCell ref="B16:C16"/>
    <mergeCell ref="D16:E16"/>
    <mergeCell ref="F16:H16"/>
    <mergeCell ref="I16:K16"/>
    <mergeCell ref="L16:N16"/>
    <mergeCell ref="B17:E17"/>
    <mergeCell ref="F17:G17"/>
    <mergeCell ref="H17:I17"/>
    <mergeCell ref="J17:K17"/>
    <mergeCell ref="L17:N17"/>
    <mergeCell ref="B14:C14"/>
    <mergeCell ref="D14:E14"/>
    <mergeCell ref="F14:H14"/>
    <mergeCell ref="I14:K14"/>
    <mergeCell ref="L14:N14"/>
    <mergeCell ref="B15:C15"/>
    <mergeCell ref="D15:E15"/>
    <mergeCell ref="F15:H15"/>
    <mergeCell ref="I15:K15"/>
    <mergeCell ref="L15:N15"/>
    <mergeCell ref="G10:H11"/>
    <mergeCell ref="I10:J11"/>
    <mergeCell ref="K10:L11"/>
    <mergeCell ref="M10:N11"/>
    <mergeCell ref="G12:H12"/>
    <mergeCell ref="I12:J12"/>
    <mergeCell ref="K12:L12"/>
    <mergeCell ref="M12:N12"/>
    <mergeCell ref="C2:N5"/>
    <mergeCell ref="B6:C7"/>
    <mergeCell ref="D6:N7"/>
    <mergeCell ref="G9:H9"/>
    <mergeCell ref="I9:J9"/>
    <mergeCell ref="K9:L9"/>
    <mergeCell ref="M9:N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Phansopa Phannoi</dc:creator>
  <cp:lastModifiedBy>Phansopa Phannoi</cp:lastModifiedBy>
  <cp:lastPrinted>2026-07-09T02:03:07Z</cp:lastPrinted>
  <dcterms:created xsi:type="dcterms:W3CDTF">2026-07-09T02:00:12Z</dcterms:created>
  <dcterms:modified xsi:type="dcterms:W3CDTF">2026-07-09T02:53:17Z</dcterms:modified>
</cp:coreProperties>
</file>